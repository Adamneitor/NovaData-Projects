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sario\Downloads\"/>
    </mc:Choice>
  </mc:AlternateContent>
  <xr:revisionPtr revIDLastSave="0" documentId="13_ncr:1_{AFCBEFBD-A225-4D1F-A13E-EDE91C50F074}" xr6:coauthVersionLast="47" xr6:coauthVersionMax="47" xr10:uidLastSave="{00000000-0000-0000-0000-000000000000}"/>
  <bookViews>
    <workbookView xWindow="-108" yWindow="-108" windowWidth="23256" windowHeight="13896" activeTab="1" xr2:uid="{15E3253F-68D0-49E1-9EC2-E88890571E17}"/>
  </bookViews>
  <sheets>
    <sheet name="Definicion" sheetId="1" r:id="rId1"/>
    <sheet name="Tablas" sheetId="3" r:id="rId2"/>
    <sheet name="Tupl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4" i="2" l="1"/>
  <c r="A143" i="2"/>
  <c r="A142" i="2"/>
  <c r="A141" i="2"/>
  <c r="A140" i="2"/>
  <c r="A139" i="2"/>
  <c r="B138" i="2"/>
  <c r="B139" i="2" s="1"/>
  <c r="B140" i="2" s="1"/>
  <c r="B141" i="2" s="1"/>
  <c r="B142" i="2" s="1"/>
  <c r="B143" i="2" s="1"/>
  <c r="B144" i="2" s="1"/>
  <c r="A138" i="2"/>
  <c r="A137" i="2"/>
  <c r="A136" i="2"/>
  <c r="A135" i="2"/>
  <c r="A134" i="2"/>
  <c r="B133" i="2"/>
  <c r="B134" i="2" s="1"/>
  <c r="B135" i="2" s="1"/>
  <c r="B136" i="2" s="1"/>
  <c r="B137" i="2" s="1"/>
  <c r="A133" i="2"/>
  <c r="A132" i="2"/>
  <c r="A131" i="2"/>
  <c r="A130" i="2"/>
  <c r="A129" i="2"/>
  <c r="A128" i="2"/>
  <c r="A127" i="2"/>
  <c r="B126" i="2"/>
  <c r="B127" i="2" s="1"/>
  <c r="B128" i="2" s="1"/>
  <c r="B129" i="2" s="1"/>
  <c r="B130" i="2" s="1"/>
  <c r="B131" i="2" s="1"/>
  <c r="B132" i="2" s="1"/>
  <c r="A126" i="2"/>
  <c r="A125" i="2"/>
  <c r="A124" i="2"/>
  <c r="B123" i="2"/>
  <c r="B124" i="2" s="1"/>
  <c r="B125" i="2" s="1"/>
  <c r="A123" i="2"/>
  <c r="A122" i="2"/>
  <c r="A121" i="2"/>
  <c r="A120" i="2"/>
  <c r="B119" i="2"/>
  <c r="B120" i="2" s="1"/>
  <c r="B121" i="2" s="1"/>
  <c r="B122" i="2" s="1"/>
  <c r="A119" i="2"/>
  <c r="A118" i="2"/>
  <c r="A117" i="2"/>
  <c r="A116" i="2"/>
  <c r="A115" i="2"/>
  <c r="A114" i="2"/>
  <c r="B113" i="2"/>
  <c r="B114" i="2" s="1"/>
  <c r="B115" i="2" s="1"/>
  <c r="B116" i="2" s="1"/>
  <c r="B117" i="2" s="1"/>
  <c r="B118" i="2" s="1"/>
  <c r="A113" i="2"/>
  <c r="A112" i="2"/>
  <c r="A111" i="2"/>
  <c r="A110" i="2"/>
  <c r="A109" i="2"/>
  <c r="A108" i="2"/>
  <c r="A107" i="2"/>
  <c r="B106" i="2"/>
  <c r="B107" i="2" s="1"/>
  <c r="B108" i="2" s="1"/>
  <c r="B109" i="2" s="1"/>
  <c r="B110" i="2" s="1"/>
  <c r="B111" i="2" s="1"/>
  <c r="B112" i="2" s="1"/>
  <c r="A106" i="2"/>
  <c r="A105" i="2"/>
  <c r="B104" i="2"/>
  <c r="B105" i="2" s="1"/>
  <c r="A104" i="2"/>
  <c r="B103" i="2"/>
  <c r="A103" i="2"/>
  <c r="A102" i="2"/>
  <c r="A101" i="2"/>
  <c r="B100" i="2"/>
  <c r="B101" i="2" s="1"/>
  <c r="B102" i="2" s="1"/>
  <c r="A100" i="2"/>
  <c r="A99" i="2"/>
  <c r="A98" i="2"/>
  <c r="A97" i="2"/>
  <c r="B96" i="2"/>
  <c r="B97" i="2" s="1"/>
  <c r="B98" i="2" s="1"/>
  <c r="B99" i="2" s="1"/>
  <c r="A96" i="2"/>
  <c r="A95" i="2"/>
  <c r="A94" i="2"/>
  <c r="A93" i="2"/>
  <c r="B92" i="2"/>
  <c r="B93" i="2" s="1"/>
  <c r="B94" i="2" s="1"/>
  <c r="B95" i="2" s="1"/>
  <c r="A92" i="2"/>
  <c r="A91" i="2"/>
  <c r="A90" i="2"/>
  <c r="B89" i="2"/>
  <c r="B90" i="2" s="1"/>
  <c r="B91" i="2" s="1"/>
  <c r="A89" i="2"/>
  <c r="A88" i="2"/>
  <c r="A87" i="2"/>
  <c r="A86" i="2"/>
  <c r="A85" i="2"/>
  <c r="A84" i="2"/>
  <c r="B83" i="2"/>
  <c r="B84" i="2" s="1"/>
  <c r="B85" i="2" s="1"/>
  <c r="B86" i="2" s="1"/>
  <c r="B87" i="2" s="1"/>
  <c r="B88" i="2" s="1"/>
  <c r="A83" i="2"/>
  <c r="A82" i="2"/>
  <c r="A81" i="2"/>
  <c r="A80" i="2"/>
  <c r="A79" i="2"/>
  <c r="A78" i="2"/>
  <c r="B77" i="2"/>
  <c r="B78" i="2" s="1"/>
  <c r="B79" i="2" s="1"/>
  <c r="B80" i="2" s="1"/>
  <c r="B81" i="2" s="1"/>
  <c r="B82" i="2" s="1"/>
  <c r="A77" i="2"/>
  <c r="A76" i="2"/>
  <c r="B75" i="2"/>
  <c r="B76" i="2" s="1"/>
  <c r="A75" i="2"/>
  <c r="A74" i="2"/>
  <c r="A73" i="2"/>
  <c r="A72" i="2"/>
  <c r="A71" i="2"/>
  <c r="B70" i="2"/>
  <c r="B71" i="2" s="1"/>
  <c r="B72" i="2" s="1"/>
  <c r="B73" i="2" s="1"/>
  <c r="B74" i="2" s="1"/>
  <c r="A70" i="2"/>
  <c r="A69" i="2"/>
  <c r="B68" i="2"/>
  <c r="B69" i="2" s="1"/>
  <c r="A68" i="2"/>
  <c r="A67" i="2"/>
  <c r="A66" i="2"/>
  <c r="A65" i="2"/>
  <c r="B64" i="2"/>
  <c r="B65" i="2" s="1"/>
  <c r="B66" i="2" s="1"/>
  <c r="B67" i="2" s="1"/>
  <c r="A64" i="2"/>
  <c r="B63" i="2"/>
  <c r="A63" i="2"/>
  <c r="B62" i="2"/>
  <c r="A62" i="2"/>
  <c r="A61" i="2"/>
  <c r="A60" i="2"/>
  <c r="A59" i="2"/>
  <c r="A58" i="2"/>
  <c r="A57" i="2"/>
  <c r="A56" i="2"/>
  <c r="A55" i="2"/>
  <c r="A54" i="2"/>
  <c r="A53" i="2"/>
  <c r="B52" i="2"/>
  <c r="B53" i="2" s="1"/>
  <c r="B54" i="2" s="1"/>
  <c r="B55" i="2" s="1"/>
  <c r="B56" i="2" s="1"/>
  <c r="B57" i="2" s="1"/>
  <c r="B58" i="2" s="1"/>
  <c r="B59" i="2" s="1"/>
  <c r="B60" i="2" s="1"/>
  <c r="B61" i="2" s="1"/>
  <c r="A52" i="2"/>
  <c r="B51" i="2"/>
  <c r="A51" i="2"/>
  <c r="B50" i="2"/>
  <c r="A50" i="2"/>
  <c r="A49" i="2"/>
  <c r="A48" i="2"/>
  <c r="A47" i="2"/>
  <c r="A46" i="2"/>
  <c r="A45" i="2"/>
  <c r="A44" i="2"/>
  <c r="A43" i="2"/>
  <c r="A42" i="2"/>
  <c r="B41" i="2"/>
  <c r="B42" i="2" s="1"/>
  <c r="B43" i="2" s="1"/>
  <c r="B44" i="2" s="1"/>
  <c r="B45" i="2" s="1"/>
  <c r="B46" i="2" s="1"/>
  <c r="B47" i="2" s="1"/>
  <c r="B48" i="2" s="1"/>
  <c r="B49" i="2" s="1"/>
  <c r="A41" i="2"/>
  <c r="A40" i="2"/>
  <c r="B39" i="2"/>
  <c r="B40" i="2" s="1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B26" i="2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A26" i="2"/>
  <c r="A25" i="2"/>
  <c r="A24" i="2"/>
  <c r="B23" i="2"/>
  <c r="B24" i="2" s="1"/>
  <c r="B25" i="2" s="1"/>
  <c r="A23" i="2"/>
  <c r="A22" i="2"/>
  <c r="B21" i="2"/>
  <c r="B22" i="2" s="1"/>
  <c r="A21" i="2"/>
  <c r="A20" i="2"/>
  <c r="A19" i="2"/>
  <c r="B18" i="2"/>
  <c r="B19" i="2" s="1"/>
  <c r="B20" i="2" s="1"/>
  <c r="A18" i="2"/>
  <c r="A17" i="2"/>
  <c r="B16" i="2"/>
  <c r="B17" i="2" s="1"/>
  <c r="A16" i="2"/>
  <c r="A15" i="2"/>
  <c r="B14" i="2"/>
  <c r="B15" i="2" s="1"/>
  <c r="A14" i="2"/>
  <c r="A13" i="2"/>
  <c r="A12" i="2"/>
  <c r="B11" i="2"/>
  <c r="B12" i="2" s="1"/>
  <c r="B13" i="2" s="1"/>
  <c r="A11" i="2"/>
  <c r="A10" i="2"/>
  <c r="A9" i="2"/>
  <c r="A8" i="2"/>
  <c r="A7" i="2"/>
  <c r="A6" i="2"/>
  <c r="B5" i="2"/>
  <c r="B6" i="2" s="1"/>
  <c r="B7" i="2" s="1"/>
  <c r="B8" i="2" s="1"/>
  <c r="B9" i="2" s="1"/>
  <c r="B10" i="2" s="1"/>
  <c r="A5" i="2"/>
  <c r="A4" i="2"/>
  <c r="A3" i="2"/>
  <c r="B2" i="2"/>
  <c r="B3" i="2" s="1"/>
  <c r="B4" i="2" s="1"/>
  <c r="A2" i="2"/>
</calcChain>
</file>

<file path=xl/sharedStrings.xml><?xml version="1.0" encoding="utf-8"?>
<sst xmlns="http://schemas.openxmlformats.org/spreadsheetml/2006/main" count="998" uniqueCount="357">
  <si>
    <t>Clientes</t>
  </si>
  <si>
    <t>Tabla</t>
  </si>
  <si>
    <t>Definicion</t>
  </si>
  <si>
    <t>Tipo</t>
  </si>
  <si>
    <t>Admite Nulos</t>
  </si>
  <si>
    <t>Referenciado a</t>
  </si>
  <si>
    <t>Longitud</t>
  </si>
  <si>
    <t>Tupla</t>
  </si>
  <si>
    <t>Cod_CL</t>
  </si>
  <si>
    <t>int</t>
  </si>
  <si>
    <t>N</t>
  </si>
  <si>
    <t>identity</t>
  </si>
  <si>
    <t>(1,1)</t>
  </si>
  <si>
    <t>Nombres</t>
  </si>
  <si>
    <t>Primer_Apellido</t>
  </si>
  <si>
    <t>Nombre_Comercial</t>
  </si>
  <si>
    <t>Segundo_Apellido</t>
  </si>
  <si>
    <t>Razon_Social</t>
  </si>
  <si>
    <t>id</t>
  </si>
  <si>
    <t>cod_tipo_id</t>
  </si>
  <si>
    <t>Tipo_Identificacion</t>
  </si>
  <si>
    <t>Tipo_Identificacion(cod_tipo_id)</t>
  </si>
  <si>
    <t>Estado_Civil</t>
  </si>
  <si>
    <t>Empleos</t>
  </si>
  <si>
    <t>Direcciones</t>
  </si>
  <si>
    <t>Primary Key</t>
  </si>
  <si>
    <t>Unique</t>
  </si>
  <si>
    <t>Contactos</t>
  </si>
  <si>
    <t>Referencias</t>
  </si>
  <si>
    <t>Tipo_Afiliacion</t>
  </si>
  <si>
    <t>cod_tipo_afiliacion</t>
  </si>
  <si>
    <t>Etapas</t>
  </si>
  <si>
    <t>Definicion de Flujos</t>
  </si>
  <si>
    <t>Estados</t>
  </si>
  <si>
    <t>Documentaciones</t>
  </si>
  <si>
    <t>Administrativas</t>
  </si>
  <si>
    <t>Usuarios</t>
  </si>
  <si>
    <t>Flujos</t>
  </si>
  <si>
    <t>Grupos</t>
  </si>
  <si>
    <t>GruposXusuario</t>
  </si>
  <si>
    <t>RolesXFlujo</t>
  </si>
  <si>
    <t>EstadosXRoles</t>
  </si>
  <si>
    <t>Nombre_Completo</t>
  </si>
  <si>
    <t>Orden</t>
  </si>
  <si>
    <t>Ordinal_Pos</t>
  </si>
  <si>
    <t>nvarchar</t>
  </si>
  <si>
    <t>(50)</t>
  </si>
  <si>
    <t>(100)</t>
  </si>
  <si>
    <t>(200)</t>
  </si>
  <si>
    <t>tinyint</t>
  </si>
  <si>
    <t>cod_estado_civil</t>
  </si>
  <si>
    <t>Estado_Civil(cod_estado_civil)</t>
  </si>
  <si>
    <t>Tipo_Afiliacion(cod_tipo_afiliacion)</t>
  </si>
  <si>
    <t>Tipo_id</t>
  </si>
  <si>
    <t>(20)</t>
  </si>
  <si>
    <t>S</t>
  </si>
  <si>
    <t>Estado_civil</t>
  </si>
  <si>
    <t>Default</t>
  </si>
  <si>
    <t>Afiliacion</t>
  </si>
  <si>
    <t>Tipo_Empleo</t>
  </si>
  <si>
    <t>cod_tipo_empleo</t>
  </si>
  <si>
    <t>Valores</t>
  </si>
  <si>
    <t>0- No identificado; 1- Cedula; 2- Cedula de Menor; 3- Pasaporte; 4- RNC; 5- RNC Internacional</t>
  </si>
  <si>
    <t>Visible</t>
  </si>
  <si>
    <t>Descripcion</t>
  </si>
  <si>
    <t>indica si la opcion esta disponible en el APP</t>
  </si>
  <si>
    <t>Cod_pais_nacimiento</t>
  </si>
  <si>
    <t>Key_empleo</t>
  </si>
  <si>
    <t xml:space="preserve">  </t>
  </si>
  <si>
    <t>0- No identificado; 1- Soltero(a); 2- Casado(a); 3- Unión Libre; 4- Divorciado(a); 5- Viudo(a)</t>
  </si>
  <si>
    <t>Genero</t>
  </si>
  <si>
    <t>Cod_genero</t>
  </si>
  <si>
    <t>Generos</t>
  </si>
  <si>
    <t>0- No definido; 1- Masculino; 2- Femenino; 3- Persona Juridica</t>
  </si>
  <si>
    <t>(0,1)</t>
  </si>
  <si>
    <t>id_moneda</t>
  </si>
  <si>
    <t>numeric</t>
  </si>
  <si>
    <t>(2,0)</t>
  </si>
  <si>
    <t>Ingresos_Mensuales</t>
  </si>
  <si>
    <t>Asalariado</t>
  </si>
  <si>
    <t>Cargo</t>
  </si>
  <si>
    <t>Empresa_Actividad</t>
  </si>
  <si>
    <t>Flag_Principal</t>
  </si>
  <si>
    <t>Sg_key_Direccion</t>
  </si>
  <si>
    <t>cod_tipo_direccion</t>
  </si>
  <si>
    <t>Calle</t>
  </si>
  <si>
    <t>sg_key_barrio</t>
  </si>
  <si>
    <t>Envio_Correspondencia</t>
  </si>
  <si>
    <t>Tipo_Direccion</t>
  </si>
  <si>
    <t>cod_tipo_Direccion</t>
  </si>
  <si>
    <t>Tipo_Contacto</t>
  </si>
  <si>
    <t>Cod_tipo_contacto</t>
  </si>
  <si>
    <t>sg_key_contacto</t>
  </si>
  <si>
    <t>cod_tipo_contacto</t>
  </si>
  <si>
    <t>Contacto</t>
  </si>
  <si>
    <t>Tipos_Referencias</t>
  </si>
  <si>
    <t>Cod_tipo_referencia</t>
  </si>
  <si>
    <t>Tipo_Referencia</t>
  </si>
  <si>
    <t>sg_key_referencia</t>
  </si>
  <si>
    <t>Nombre_Referencia</t>
  </si>
  <si>
    <t>Telefono_1_Referencia</t>
  </si>
  <si>
    <t>Telefono_2_Referencia</t>
  </si>
  <si>
    <t>(255)</t>
  </si>
  <si>
    <t>Monedas</t>
  </si>
  <si>
    <t>Moneda</t>
  </si>
  <si>
    <t xml:space="preserve"> </t>
  </si>
  <si>
    <t>Monedas(id_Moneda)</t>
  </si>
  <si>
    <t/>
  </si>
  <si>
    <t>Tipo_Direccion(cod_tipo_Direccion)</t>
  </si>
  <si>
    <t>Tipo_Contacto(Cod_tipo_contacto)</t>
  </si>
  <si>
    <t>Numero</t>
  </si>
  <si>
    <t>Edificio</t>
  </si>
  <si>
    <t>Apartamento</t>
  </si>
  <si>
    <t>(10)</t>
  </si>
  <si>
    <t>Referencia_Cercana</t>
  </si>
  <si>
    <t>Tipos_Referencias(Cod_tipo_referencia)</t>
  </si>
  <si>
    <t>IdProceso</t>
  </si>
  <si>
    <t>Nombre</t>
  </si>
  <si>
    <t>(150)</t>
  </si>
  <si>
    <t>(500)</t>
  </si>
  <si>
    <t>Activo</t>
  </si>
  <si>
    <t>bit</t>
  </si>
  <si>
    <t>FechaCreacion</t>
  </si>
  <si>
    <t>datetime2</t>
  </si>
  <si>
    <t>SYSDATETIME()</t>
  </si>
  <si>
    <t>Etapa</t>
  </si>
  <si>
    <t>IdEtapa</t>
  </si>
  <si>
    <t>PermiteRetroceso</t>
  </si>
  <si>
    <t>EsFinal</t>
  </si>
  <si>
    <t>Estado</t>
  </si>
  <si>
    <t>IdEstado</t>
  </si>
  <si>
    <t>Etapa(IdEtapa)</t>
  </si>
  <si>
    <t>varchar</t>
  </si>
  <si>
    <t>Transicion</t>
  </si>
  <si>
    <t>IdTransicion</t>
  </si>
  <si>
    <t>IdEstadoOrigen</t>
  </si>
  <si>
    <t>Estado(IdEstado)</t>
  </si>
  <si>
    <t>IdEtapaDestino</t>
  </si>
  <si>
    <t>IdEstadoDestino</t>
  </si>
  <si>
    <t>Documento</t>
  </si>
  <si>
    <t>IdDocumento</t>
  </si>
  <si>
    <t>(300)</t>
  </si>
  <si>
    <t>EtapaDocumento</t>
  </si>
  <si>
    <t>Documento(IdDocumento)</t>
  </si>
  <si>
    <t>Obligatorio</t>
  </si>
  <si>
    <t>Caso</t>
  </si>
  <si>
    <t>IdCaso</t>
  </si>
  <si>
    <t>bigint</t>
  </si>
  <si>
    <t>ClienteId</t>
  </si>
  <si>
    <t>IdEtapaActual</t>
  </si>
  <si>
    <t>IdEstadoActual</t>
  </si>
  <si>
    <t>EstadoGeneral</t>
  </si>
  <si>
    <t>ACTIVO</t>
  </si>
  <si>
    <t>ACTIVO, CERRADO, CANCELADO</t>
  </si>
  <si>
    <t>CasoHistorial</t>
  </si>
  <si>
    <t>IdHistorial</t>
  </si>
  <si>
    <t>Caso(IdCaso)</t>
  </si>
  <si>
    <t>Fecha</t>
  </si>
  <si>
    <t>Usuario</t>
  </si>
  <si>
    <t>Comentario</t>
  </si>
  <si>
    <t>CasoDocumento</t>
  </si>
  <si>
    <t>RutaArchivo</t>
  </si>
  <si>
    <t>FechaCarga</t>
  </si>
  <si>
    <t>Nombre_Etapa</t>
  </si>
  <si>
    <t>Acciones</t>
  </si>
  <si>
    <t>Cod_Accion</t>
  </si>
  <si>
    <t>Accion</t>
  </si>
  <si>
    <t>Abreviatura</t>
  </si>
  <si>
    <t>nchar</t>
  </si>
  <si>
    <t>(1)</t>
  </si>
  <si>
    <t>Cod_tipo_accion</t>
  </si>
  <si>
    <t>Acciones(Cod_Accion)</t>
  </si>
  <si>
    <t>key_usuario</t>
  </si>
  <si>
    <t>usuarioAd</t>
  </si>
  <si>
    <t>Nombre_Usuario</t>
  </si>
  <si>
    <t>1- Super Usuario: Tiene todos los accesos; 2- Administrador de Credenciales: Crea usuarios y asigna el nivel de acceso; 3- Soporte Operativo: Puede cambiar etapas, reasignar casos, etc.</t>
  </si>
  <si>
    <t>flag_activo</t>
  </si>
  <si>
    <t>id_fecha_inactivacion</t>
  </si>
  <si>
    <t>Grupos_Usuarios</t>
  </si>
  <si>
    <t>key_grupo</t>
  </si>
  <si>
    <t>Grupo</t>
  </si>
  <si>
    <t>Tipos_Fujos</t>
  </si>
  <si>
    <t>cod_tipo_Fujo</t>
  </si>
  <si>
    <t>Tipo_Fujo</t>
  </si>
  <si>
    <t>Fujo</t>
  </si>
  <si>
    <t>IdFujo</t>
  </si>
  <si>
    <t>nvachar</t>
  </si>
  <si>
    <t>Tipos_Usuarios</t>
  </si>
  <si>
    <t>Tipo_Usuario</t>
  </si>
  <si>
    <t>key_dato</t>
  </si>
  <si>
    <t>Dato</t>
  </si>
  <si>
    <t>Tipo_Dato</t>
  </si>
  <si>
    <t>Datos_Complementarios</t>
  </si>
  <si>
    <t>Tipos_de_datos_Complementarios</t>
  </si>
  <si>
    <t>Necesita_Longitud</t>
  </si>
  <si>
    <t>Necesita_Decimales</t>
  </si>
  <si>
    <t>key_tipo_Dato</t>
  </si>
  <si>
    <t>getdate()</t>
  </si>
  <si>
    <t>(25)</t>
  </si>
  <si>
    <t>Formato_Visualizacion</t>
  </si>
  <si>
    <t>Nvarchar</t>
  </si>
  <si>
    <t>CasoDatosComplementarios</t>
  </si>
  <si>
    <t>Dato_Complementario</t>
  </si>
  <si>
    <t>Datos_Complementarios_Etapa</t>
  </si>
  <si>
    <t>idEtapa</t>
  </si>
  <si>
    <t>Fecha_Adicion</t>
  </si>
  <si>
    <t>Fecha_Modificacion</t>
  </si>
  <si>
    <t>Key_usuario_adicion</t>
  </si>
  <si>
    <t>Key_usuario_modificacion</t>
  </si>
  <si>
    <t>(max)</t>
  </si>
  <si>
    <t>key_usuario_carga</t>
  </si>
  <si>
    <t>Generos(Cod_genero)</t>
  </si>
  <si>
    <t>Paises(Cod_pais)</t>
  </si>
  <si>
    <t>Barrios(sg_key_barrio)</t>
  </si>
  <si>
    <t>Clientes(Cod_CL)</t>
  </si>
  <si>
    <t>Tipos_de_datos_Complementarios(key_tipo_Dato)</t>
  </si>
  <si>
    <t>Datos_Complementarios(key_dato)</t>
  </si>
  <si>
    <t>Usuarios(key_usuario)</t>
  </si>
  <si>
    <t>Tipos_Flujos(cod_tipo_Flujo)</t>
  </si>
  <si>
    <t>Flujo(IdFlujo)</t>
  </si>
  <si>
    <t>fecha_ingreso</t>
  </si>
  <si>
    <t>date</t>
  </si>
  <si>
    <t>fecha_fin_empleo</t>
  </si>
  <si>
    <t>Identificador único del tipo de usuario</t>
  </si>
  <si>
    <t>Nombre del tipo de usuario</t>
  </si>
  <si>
    <t>Descripción detallada del tipo de usuario</t>
  </si>
  <si>
    <t>Identificador único del usuario</t>
  </si>
  <si>
    <t>Usuario de Active Directory</t>
  </si>
  <si>
    <t>Nombre completo del usuario</t>
  </si>
  <si>
    <t>Tipo de usuario asignado</t>
  </si>
  <si>
    <t>Indica si el usuario está activo (1) o inactivo (0)</t>
  </si>
  <si>
    <t>Fecha en que el usuario fue desactivado</t>
  </si>
  <si>
    <t>Identificador único del grupo</t>
  </si>
  <si>
    <t>Nombre del grupo de usuarios</t>
  </si>
  <si>
    <t>Descripción del grupo y sus funciones</t>
  </si>
  <si>
    <t>Código del género</t>
  </si>
  <si>
    <t>Nombre del género</t>
  </si>
  <si>
    <t>Código del tipo de identificación</t>
  </si>
  <si>
    <t>Nombre del tipo de identificación</t>
  </si>
  <si>
    <t>Código del estado civil</t>
  </si>
  <si>
    <t>Nombre del estado civil</t>
  </si>
  <si>
    <t>Código del tipo de afiliación</t>
  </si>
  <si>
    <t>Nombre del tipo de afiliación</t>
  </si>
  <si>
    <t>Código del tipo de empleo</t>
  </si>
  <si>
    <t>Nombre del tipo de empleo</t>
  </si>
  <si>
    <t>Código único del cliente</t>
  </si>
  <si>
    <t>Nombres del cliente (persona física)</t>
  </si>
  <si>
    <t>Primer apellido del cliente</t>
  </si>
  <si>
    <t>Segundo apellido del cliente</t>
  </si>
  <si>
    <t>Nombre comercial (persona jurídica)</t>
  </si>
  <si>
    <t>Razón social (persona jurídica)</t>
  </si>
  <si>
    <t>Nombre completo concatenado del cliente</t>
  </si>
  <si>
    <t>Número de identificación del cliente</t>
  </si>
  <si>
    <t>Código del país de nacimiento</t>
  </si>
  <si>
    <t>Código del género del cliente</t>
  </si>
  <si>
    <t>Identificador único de la moneda</t>
  </si>
  <si>
    <t>Nombre de la moneda</t>
  </si>
  <si>
    <t>Identificador único del empleo</t>
  </si>
  <si>
    <t>Indica si es trabajador asalariado (1) o independiente (0)</t>
  </si>
  <si>
    <t>Nombre de la empresa o actividad económica</t>
  </si>
  <si>
    <t>Cargo o posición que desempeña</t>
  </si>
  <si>
    <t>Moneda en que se reportan los ingresos</t>
  </si>
  <si>
    <t>Monto de ingresos mensuales</t>
  </si>
  <si>
    <t>Fecha de inicio del empleo</t>
  </si>
  <si>
    <t>Fecha de finalización del empleo</t>
  </si>
  <si>
    <t>Indica si es el empleo principal del cliente</t>
  </si>
  <si>
    <t>Código del tipo de dirección</t>
  </si>
  <si>
    <t>Nombre del tipo de dirección</t>
  </si>
  <si>
    <t>Identificador único de la dirección</t>
  </si>
  <si>
    <t>Nombre de la calle o avenida</t>
  </si>
  <si>
    <t>Número de la vivienda o local</t>
  </si>
  <si>
    <t>Nombre del edificio o residencial</t>
  </si>
  <si>
    <t>Número de apartamento o suite</t>
  </si>
  <si>
    <t>Punto de referencia cercano</t>
  </si>
  <si>
    <t>Código del barrio o sector</t>
  </si>
  <si>
    <t>Indica si es la dirección principal</t>
  </si>
  <si>
    <t>Indica si se debe enviar correspondencia a esta dirección</t>
  </si>
  <si>
    <t>Código del tipo de contacto</t>
  </si>
  <si>
    <t>Nombre del tipo de contacto</t>
  </si>
  <si>
    <t>Identificador único del contacto</t>
  </si>
  <si>
    <t>Valor del contacto (teléfono, correo, red social)</t>
  </si>
  <si>
    <t>Indica si es el contacto principal</t>
  </si>
  <si>
    <t>Código del tipo de referencia</t>
  </si>
  <si>
    <t>Nombre del tipo de referencia</t>
  </si>
  <si>
    <t>Identificador único de la referencia</t>
  </si>
  <si>
    <t>Nombre completo de la persona de referencia</t>
  </si>
  <si>
    <t>Teléfono principal de la referencia</t>
  </si>
  <si>
    <t>Teléfono alternativo de la referencia</t>
  </si>
  <si>
    <t>Código del tipo de flujo</t>
  </si>
  <si>
    <t>Nombre del tipo de flujo</t>
  </si>
  <si>
    <t>Identificador único del flujo</t>
  </si>
  <si>
    <t>Nombre del flujo</t>
  </si>
  <si>
    <t>Descripción detallada del flujo</t>
  </si>
  <si>
    <t>Indica si el flujo está activo</t>
  </si>
  <si>
    <t>Fecha y hora de creación del flujo</t>
  </si>
  <si>
    <t>Identificador único de la etapa</t>
  </si>
  <si>
    <t>Identificador del flujo al que pertenece</t>
  </si>
  <si>
    <t>Nombre de la etapa</t>
  </si>
  <si>
    <t>Número de orden secuencial de la etapa</t>
  </si>
  <si>
    <t>Indica si la etapa permite retroceder</t>
  </si>
  <si>
    <t>Indica si es la etapa final del flujo</t>
  </si>
  <si>
    <t>Código de la acción</t>
  </si>
  <si>
    <t>Nombre de la acción</t>
  </si>
  <si>
    <t>Letra o código abreviado de la acción</t>
  </si>
  <si>
    <t>Identificador único del estado</t>
  </si>
  <si>
    <t>Identificador de la etapa a la que pertenece</t>
  </si>
  <si>
    <t>Nombre del estado</t>
  </si>
  <si>
    <t>Código de la acción asociada al estado</t>
  </si>
  <si>
    <t>Identificador único de la transición</t>
  </si>
  <si>
    <t>Estado desde donde inicia la transición</t>
  </si>
  <si>
    <t>Etapa destino de la transición</t>
  </si>
  <si>
    <t>Estado destino de la transición</t>
  </si>
  <si>
    <t>Identificador único del documento</t>
  </si>
  <si>
    <t>Nombre del documento</t>
  </si>
  <si>
    <t>Descripción del documento requerido</t>
  </si>
  <si>
    <t>Identificador de la etapa</t>
  </si>
  <si>
    <t>Identificador del documento</t>
  </si>
  <si>
    <t>Indica si el documento es obligatorio en la etapa</t>
  </si>
  <si>
    <t>Identificador único del caso</t>
  </si>
  <si>
    <t>Identificador del flujo asociado</t>
  </si>
  <si>
    <t>Identificador del cliente relacionado</t>
  </si>
  <si>
    <t>Etapa actual en la que se encuentra el caso</t>
  </si>
  <si>
    <t>Estado actual del caso dentro de la etapa</t>
  </si>
  <si>
    <t>Estado general del caso (ACTIVO, CERRADO, CANCELADO)</t>
  </si>
  <si>
    <t>Fecha y hora de creación del caso</t>
  </si>
  <si>
    <t>Identificador del tipo de dato complementario</t>
  </si>
  <si>
    <t>Nombre del tipo de dato (texto, número, fecha, etc.)</t>
  </si>
  <si>
    <t>Abreviatura del tipo de dato</t>
  </si>
  <si>
    <t>Indica si el tipo de dato requiere especificar longitud</t>
  </si>
  <si>
    <t>Indica si el tipo de dato requiere especificar decimales</t>
  </si>
  <si>
    <t>Formato de visualización en la interfaz</t>
  </si>
  <si>
    <t>Identificador único del dato complementario</t>
  </si>
  <si>
    <t>Nombre del campo de dato complementario</t>
  </si>
  <si>
    <t>Descripción del dato complementario</t>
  </si>
  <si>
    <t>Tipo de dato del campo complementario</t>
  </si>
  <si>
    <t>Identificador del dato complementario</t>
  </si>
  <si>
    <t>Identificador de la etapa asociada</t>
  </si>
  <si>
    <t>Indica si el dato es obligatorio en la etapa</t>
  </si>
  <si>
    <t>Identificador único del registro de historial</t>
  </si>
  <si>
    <t>Identificador del caso</t>
  </si>
  <si>
    <t>Etapa en la que se registró el movimiento</t>
  </si>
  <si>
    <t>Estado en el que se registró el movimiento</t>
  </si>
  <si>
    <t>Fecha y hora del movimiento</t>
  </si>
  <si>
    <t>Usuario que realizó el movimiento</t>
  </si>
  <si>
    <t>Comentario o nota del movimiento</t>
  </si>
  <si>
    <t>Ruta del archivo almacenado</t>
  </si>
  <si>
    <t>Fecha y hora de carga del documento</t>
  </si>
  <si>
    <t>Usuario que cargó el documento</t>
  </si>
  <si>
    <t>Valor capturado del dato complementario</t>
  </si>
  <si>
    <t>Fecha y hora de adición del dato</t>
  </si>
  <si>
    <t>Fecha y hora de última modificación</t>
  </si>
  <si>
    <t>Usuario que añadió el dato</t>
  </si>
  <si>
    <t>Usuario que realizó la última modificación</t>
  </si>
  <si>
    <t>Perfiles_Usuarios</t>
  </si>
  <si>
    <t>id_perfil_usuario</t>
  </si>
  <si>
    <t>Perfiles_Usuarios(id_perfil_usuario)</t>
  </si>
  <si>
    <t>Define el tipo de usuario, un bucket de perfil, que servirá para luego asignar las atribuciones que tendra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</si>
</sst>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56D73E-4354-4D02-B731-AA40C23B4E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C71A-BB08-43AB-8455-B48044E68686}">
  <dimension ref="A1:A12"/>
  <sheetViews>
    <sheetView workbookViewId="0">
      <selection activeCell="A17" sqref="A1:XFD17"/>
    </sheetView>
  </sheetViews>
  <sheetFormatPr defaultRowHeight="14.4" x14ac:dyDescent="0.3"/>
  <cols>
    <col min="1" max="1" width="16.109375" bestFit="1" customWidth="1"/>
    <col min="2" max="2" width="33.109375" bestFit="1" customWidth="1"/>
    <col min="3" max="3" width="13.5546875" bestFit="1" customWidth="1"/>
  </cols>
  <sheetData>
    <row r="1" spans="1:1" ht="25.8" x14ac:dyDescent="0.5">
      <c r="A1" s="1" t="s">
        <v>32</v>
      </c>
    </row>
    <row r="2" spans="1:1" x14ac:dyDescent="0.3">
      <c r="A2" t="s">
        <v>37</v>
      </c>
    </row>
    <row r="3" spans="1:1" x14ac:dyDescent="0.3">
      <c r="A3" t="s">
        <v>31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40</v>
      </c>
    </row>
    <row r="7" spans="1:1" x14ac:dyDescent="0.3">
      <c r="A7" t="s">
        <v>41</v>
      </c>
    </row>
    <row r="9" spans="1:1" ht="25.8" x14ac:dyDescent="0.5">
      <c r="A9" s="1" t="s">
        <v>35</v>
      </c>
    </row>
    <row r="10" spans="1:1" x14ac:dyDescent="0.3">
      <c r="A10" t="s">
        <v>36</v>
      </c>
    </row>
    <row r="11" spans="1:1" x14ac:dyDescent="0.3">
      <c r="A11" t="s">
        <v>38</v>
      </c>
    </row>
    <row r="12" spans="1:1" x14ac:dyDescent="0.3">
      <c r="A1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4731-75D4-4485-A8E6-EE241C1D00D1}">
  <dimension ref="A1:C33"/>
  <sheetViews>
    <sheetView tabSelected="1" workbookViewId="0">
      <selection activeCell="C3" sqref="C3"/>
    </sheetView>
  </sheetViews>
  <sheetFormatPr defaultRowHeight="14.4" x14ac:dyDescent="0.3"/>
  <cols>
    <col min="2" max="2" width="28.77734375" bestFit="1" customWidth="1"/>
  </cols>
  <sheetData>
    <row r="1" spans="1:3" x14ac:dyDescent="0.3">
      <c r="A1" t="s">
        <v>43</v>
      </c>
      <c r="B1" t="s">
        <v>1</v>
      </c>
      <c r="C1" t="s">
        <v>2</v>
      </c>
    </row>
    <row r="2" spans="1:3" x14ac:dyDescent="0.3">
      <c r="A2">
        <v>1</v>
      </c>
      <c r="B2" t="s">
        <v>187</v>
      </c>
      <c r="C2" t="s">
        <v>356</v>
      </c>
    </row>
    <row r="3" spans="1:3" x14ac:dyDescent="0.3">
      <c r="A3">
        <v>2</v>
      </c>
      <c r="B3" t="s">
        <v>36</v>
      </c>
    </row>
    <row r="4" spans="1:3" x14ac:dyDescent="0.3">
      <c r="A4">
        <v>3</v>
      </c>
      <c r="B4" t="s">
        <v>178</v>
      </c>
    </row>
    <row r="5" spans="1:3" x14ac:dyDescent="0.3">
      <c r="A5">
        <v>4</v>
      </c>
      <c r="B5" t="s">
        <v>72</v>
      </c>
    </row>
    <row r="6" spans="1:3" x14ac:dyDescent="0.3">
      <c r="A6">
        <v>5</v>
      </c>
      <c r="B6" t="s">
        <v>20</v>
      </c>
    </row>
    <row r="7" spans="1:3" x14ac:dyDescent="0.3">
      <c r="A7">
        <v>6</v>
      </c>
      <c r="B7" t="s">
        <v>22</v>
      </c>
    </row>
    <row r="8" spans="1:3" x14ac:dyDescent="0.3">
      <c r="A8">
        <v>7</v>
      </c>
      <c r="B8" t="s">
        <v>29</v>
      </c>
    </row>
    <row r="9" spans="1:3" x14ac:dyDescent="0.3">
      <c r="A9">
        <v>8</v>
      </c>
      <c r="B9" t="s">
        <v>59</v>
      </c>
    </row>
    <row r="10" spans="1:3" x14ac:dyDescent="0.3">
      <c r="A10">
        <v>9</v>
      </c>
      <c r="B10" t="s">
        <v>0</v>
      </c>
    </row>
    <row r="11" spans="1:3" x14ac:dyDescent="0.3">
      <c r="A11">
        <v>10</v>
      </c>
      <c r="B11" t="s">
        <v>103</v>
      </c>
    </row>
    <row r="12" spans="1:3" x14ac:dyDescent="0.3">
      <c r="A12">
        <v>11</v>
      </c>
      <c r="B12" t="s">
        <v>23</v>
      </c>
    </row>
    <row r="13" spans="1:3" x14ac:dyDescent="0.3">
      <c r="A13">
        <v>12</v>
      </c>
      <c r="B13" t="s">
        <v>88</v>
      </c>
    </row>
    <row r="14" spans="1:3" x14ac:dyDescent="0.3">
      <c r="A14">
        <v>13</v>
      </c>
      <c r="B14" t="s">
        <v>24</v>
      </c>
    </row>
    <row r="15" spans="1:3" x14ac:dyDescent="0.3">
      <c r="A15">
        <v>14</v>
      </c>
      <c r="B15" t="s">
        <v>90</v>
      </c>
    </row>
    <row r="16" spans="1:3" x14ac:dyDescent="0.3">
      <c r="A16">
        <v>15</v>
      </c>
      <c r="B16" t="s">
        <v>27</v>
      </c>
    </row>
    <row r="17" spans="1:2" x14ac:dyDescent="0.3">
      <c r="A17">
        <v>16</v>
      </c>
      <c r="B17" t="s">
        <v>95</v>
      </c>
    </row>
    <row r="18" spans="1:2" x14ac:dyDescent="0.3">
      <c r="A18">
        <v>17</v>
      </c>
      <c r="B18" t="s">
        <v>28</v>
      </c>
    </row>
    <row r="19" spans="1:2" x14ac:dyDescent="0.3">
      <c r="A19">
        <v>18</v>
      </c>
      <c r="B19" t="s">
        <v>181</v>
      </c>
    </row>
    <row r="20" spans="1:2" x14ac:dyDescent="0.3">
      <c r="A20">
        <v>19</v>
      </c>
      <c r="B20" t="s">
        <v>184</v>
      </c>
    </row>
    <row r="21" spans="1:2" x14ac:dyDescent="0.3">
      <c r="A21">
        <v>20</v>
      </c>
      <c r="B21" t="s">
        <v>125</v>
      </c>
    </row>
    <row r="22" spans="1:2" x14ac:dyDescent="0.3">
      <c r="A22">
        <v>21</v>
      </c>
      <c r="B22" t="s">
        <v>164</v>
      </c>
    </row>
    <row r="23" spans="1:2" x14ac:dyDescent="0.3">
      <c r="A23">
        <v>22</v>
      </c>
      <c r="B23" t="s">
        <v>129</v>
      </c>
    </row>
    <row r="24" spans="1:2" x14ac:dyDescent="0.3">
      <c r="A24">
        <v>23</v>
      </c>
      <c r="B24" t="s">
        <v>133</v>
      </c>
    </row>
    <row r="25" spans="1:2" x14ac:dyDescent="0.3">
      <c r="A25">
        <v>24</v>
      </c>
      <c r="B25" t="s">
        <v>139</v>
      </c>
    </row>
    <row r="26" spans="1:2" x14ac:dyDescent="0.3">
      <c r="A26">
        <v>25</v>
      </c>
      <c r="B26" t="s">
        <v>142</v>
      </c>
    </row>
    <row r="27" spans="1:2" x14ac:dyDescent="0.3">
      <c r="A27">
        <v>26</v>
      </c>
      <c r="B27" t="s">
        <v>145</v>
      </c>
    </row>
    <row r="28" spans="1:2" x14ac:dyDescent="0.3">
      <c r="A28">
        <v>27</v>
      </c>
      <c r="B28" t="s">
        <v>193</v>
      </c>
    </row>
    <row r="29" spans="1:2" x14ac:dyDescent="0.3">
      <c r="A29">
        <v>28</v>
      </c>
      <c r="B29" t="s">
        <v>192</v>
      </c>
    </row>
    <row r="30" spans="1:2" x14ac:dyDescent="0.3">
      <c r="A30">
        <v>29</v>
      </c>
      <c r="B30" t="s">
        <v>203</v>
      </c>
    </row>
    <row r="31" spans="1:2" x14ac:dyDescent="0.3">
      <c r="A31">
        <v>30</v>
      </c>
      <c r="B31" t="s">
        <v>154</v>
      </c>
    </row>
    <row r="32" spans="1:2" x14ac:dyDescent="0.3">
      <c r="A32">
        <v>31</v>
      </c>
      <c r="B32" t="s">
        <v>160</v>
      </c>
    </row>
    <row r="33" spans="1:2" x14ac:dyDescent="0.3">
      <c r="A33">
        <v>32</v>
      </c>
      <c r="B33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C51B-198C-406A-9CEA-B7E4A59CA1EA}">
  <dimension ref="A1:N144"/>
  <sheetViews>
    <sheetView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6" bestFit="1" customWidth="1"/>
    <col min="2" max="2" width="10.6640625" bestFit="1" customWidth="1"/>
    <col min="3" max="3" width="28.77734375" bestFit="1" customWidth="1"/>
    <col min="4" max="4" width="20.109375" bestFit="1" customWidth="1"/>
    <col min="5" max="5" width="48.6640625" bestFit="1" customWidth="1"/>
    <col min="6" max="6" width="9.109375" bestFit="1" customWidth="1"/>
    <col min="7" max="7" width="6.77734375" bestFit="1" customWidth="1"/>
    <col min="8" max="8" width="7.77734375" style="2" bestFit="1" customWidth="1"/>
    <col min="9" max="9" width="11.6640625" bestFit="1" customWidth="1"/>
    <col min="10" max="10" width="13.21875" bestFit="1" customWidth="1"/>
    <col min="11" max="11" width="10.33203125" bestFit="1" customWidth="1"/>
    <col min="12" max="12" width="6.6640625" bestFit="1" customWidth="1"/>
    <col min="13" max="13" width="33.44140625" bestFit="1" customWidth="1"/>
    <col min="14" max="14" width="76.88671875" bestFit="1" customWidth="1"/>
  </cols>
  <sheetData>
    <row r="1" spans="1:14" x14ac:dyDescent="0.3">
      <c r="A1" t="s">
        <v>43</v>
      </c>
      <c r="B1" t="s">
        <v>44</v>
      </c>
      <c r="C1" t="s">
        <v>1</v>
      </c>
      <c r="D1" t="s">
        <v>7</v>
      </c>
      <c r="E1" t="s">
        <v>64</v>
      </c>
      <c r="F1" t="s">
        <v>3</v>
      </c>
      <c r="G1" t="s">
        <v>11</v>
      </c>
      <c r="H1" s="2" t="s">
        <v>6</v>
      </c>
      <c r="I1" t="s">
        <v>4</v>
      </c>
      <c r="J1" t="s">
        <v>57</v>
      </c>
      <c r="K1" t="s">
        <v>25</v>
      </c>
      <c r="L1" t="s">
        <v>26</v>
      </c>
      <c r="M1" t="s">
        <v>5</v>
      </c>
      <c r="N1" t="s">
        <v>61</v>
      </c>
    </row>
    <row r="2" spans="1:14" x14ac:dyDescent="0.3">
      <c r="A2">
        <f t="shared" ref="A2:A65" si="0">+ROW()-1</f>
        <v>1</v>
      </c>
      <c r="B2">
        <f t="shared" ref="B2:B65" si="1">+IF(C2=C1,B1+1,1)</f>
        <v>1</v>
      </c>
      <c r="C2" t="s">
        <v>353</v>
      </c>
      <c r="D2" t="s">
        <v>354</v>
      </c>
      <c r="E2" s="7" t="s">
        <v>223</v>
      </c>
      <c r="F2" t="s">
        <v>49</v>
      </c>
      <c r="G2" t="s">
        <v>12</v>
      </c>
      <c r="I2" t="s">
        <v>10</v>
      </c>
      <c r="K2" t="s">
        <v>55</v>
      </c>
    </row>
    <row r="3" spans="1:14" x14ac:dyDescent="0.3">
      <c r="A3">
        <f t="shared" si="0"/>
        <v>2</v>
      </c>
      <c r="B3">
        <f t="shared" ref="B3:B66" si="2">+IF(C3=C2,B2+1,1)</f>
        <v>2</v>
      </c>
      <c r="C3" t="s">
        <v>353</v>
      </c>
      <c r="D3" t="s">
        <v>188</v>
      </c>
      <c r="E3" s="7" t="s">
        <v>224</v>
      </c>
      <c r="F3" t="s">
        <v>45</v>
      </c>
      <c r="H3" s="2" t="s">
        <v>46</v>
      </c>
      <c r="I3" t="s">
        <v>10</v>
      </c>
      <c r="L3" t="s">
        <v>55</v>
      </c>
    </row>
    <row r="4" spans="1:14" x14ac:dyDescent="0.3">
      <c r="A4">
        <f t="shared" si="0"/>
        <v>3</v>
      </c>
      <c r="B4">
        <f t="shared" si="2"/>
        <v>3</v>
      </c>
      <c r="C4" t="s">
        <v>353</v>
      </c>
      <c r="D4" t="s">
        <v>64</v>
      </c>
      <c r="E4" s="7" t="s">
        <v>225</v>
      </c>
      <c r="F4" t="s">
        <v>45</v>
      </c>
      <c r="H4" s="2" t="s">
        <v>102</v>
      </c>
      <c r="I4" t="s">
        <v>55</v>
      </c>
    </row>
    <row r="5" spans="1:14" x14ac:dyDescent="0.3">
      <c r="A5">
        <f t="shared" si="0"/>
        <v>4</v>
      </c>
      <c r="B5">
        <f t="shared" si="2"/>
        <v>1</v>
      </c>
      <c r="C5" t="s">
        <v>36</v>
      </c>
      <c r="D5" t="s">
        <v>172</v>
      </c>
      <c r="E5" s="7" t="s">
        <v>226</v>
      </c>
      <c r="F5" t="s">
        <v>9</v>
      </c>
      <c r="G5" t="s">
        <v>12</v>
      </c>
      <c r="I5" t="s">
        <v>10</v>
      </c>
      <c r="K5" t="s">
        <v>55</v>
      </c>
    </row>
    <row r="6" spans="1:14" x14ac:dyDescent="0.3">
      <c r="A6">
        <f t="shared" si="0"/>
        <v>5</v>
      </c>
      <c r="B6">
        <f t="shared" si="2"/>
        <v>2</v>
      </c>
      <c r="C6" t="s">
        <v>36</v>
      </c>
      <c r="D6" t="s">
        <v>173</v>
      </c>
      <c r="E6" s="7" t="s">
        <v>227</v>
      </c>
      <c r="F6" t="s">
        <v>186</v>
      </c>
      <c r="H6" s="2" t="s">
        <v>54</v>
      </c>
      <c r="I6" t="s">
        <v>10</v>
      </c>
      <c r="L6" t="s">
        <v>55</v>
      </c>
    </row>
    <row r="7" spans="1:14" x14ac:dyDescent="0.3">
      <c r="A7">
        <f t="shared" si="0"/>
        <v>6</v>
      </c>
      <c r="B7">
        <f t="shared" si="2"/>
        <v>3</v>
      </c>
      <c r="C7" t="s">
        <v>36</v>
      </c>
      <c r="D7" t="s">
        <v>174</v>
      </c>
      <c r="E7" s="7" t="s">
        <v>228</v>
      </c>
      <c r="F7" t="s">
        <v>45</v>
      </c>
      <c r="H7" s="2" t="s">
        <v>46</v>
      </c>
      <c r="I7" t="s">
        <v>10</v>
      </c>
    </row>
    <row r="8" spans="1:14" x14ac:dyDescent="0.3">
      <c r="A8">
        <f t="shared" si="0"/>
        <v>7</v>
      </c>
      <c r="B8">
        <f t="shared" si="2"/>
        <v>4</v>
      </c>
      <c r="C8" t="s">
        <v>36</v>
      </c>
      <c r="D8" t="s">
        <v>354</v>
      </c>
      <c r="E8" s="7" t="s">
        <v>229</v>
      </c>
      <c r="F8" t="s">
        <v>49</v>
      </c>
      <c r="I8" t="s">
        <v>10</v>
      </c>
      <c r="M8" t="s">
        <v>355</v>
      </c>
      <c r="N8" t="s">
        <v>175</v>
      </c>
    </row>
    <row r="9" spans="1:14" x14ac:dyDescent="0.3">
      <c r="A9">
        <f t="shared" si="0"/>
        <v>8</v>
      </c>
      <c r="B9">
        <f t="shared" si="2"/>
        <v>5</v>
      </c>
      <c r="C9" t="s">
        <v>36</v>
      </c>
      <c r="D9" t="s">
        <v>176</v>
      </c>
      <c r="E9" s="7" t="s">
        <v>230</v>
      </c>
      <c r="F9" t="s">
        <v>121</v>
      </c>
      <c r="I9" t="s">
        <v>10</v>
      </c>
      <c r="J9">
        <v>1</v>
      </c>
    </row>
    <row r="10" spans="1:14" x14ac:dyDescent="0.3">
      <c r="A10">
        <f t="shared" si="0"/>
        <v>9</v>
      </c>
      <c r="B10">
        <f t="shared" si="2"/>
        <v>6</v>
      </c>
      <c r="C10" t="s">
        <v>36</v>
      </c>
      <c r="D10" t="s">
        <v>177</v>
      </c>
      <c r="E10" s="7" t="s">
        <v>231</v>
      </c>
      <c r="F10" t="s">
        <v>123</v>
      </c>
      <c r="I10" t="s">
        <v>55</v>
      </c>
    </row>
    <row r="11" spans="1:14" x14ac:dyDescent="0.3">
      <c r="A11">
        <f t="shared" si="0"/>
        <v>10</v>
      </c>
      <c r="B11">
        <f t="shared" si="2"/>
        <v>1</v>
      </c>
      <c r="C11" t="s">
        <v>178</v>
      </c>
      <c r="D11" t="s">
        <v>179</v>
      </c>
      <c r="E11" s="7" t="s">
        <v>232</v>
      </c>
      <c r="F11" t="s">
        <v>9</v>
      </c>
      <c r="G11" t="s">
        <v>12</v>
      </c>
      <c r="I11" t="s">
        <v>10</v>
      </c>
    </row>
    <row r="12" spans="1:14" x14ac:dyDescent="0.3">
      <c r="A12">
        <f t="shared" si="0"/>
        <v>11</v>
      </c>
      <c r="B12">
        <f t="shared" si="2"/>
        <v>2</v>
      </c>
      <c r="C12" t="s">
        <v>178</v>
      </c>
      <c r="D12" t="s">
        <v>180</v>
      </c>
      <c r="E12" s="7" t="s">
        <v>233</v>
      </c>
      <c r="F12" t="s">
        <v>45</v>
      </c>
      <c r="H12" s="2" t="s">
        <v>47</v>
      </c>
      <c r="I12" t="s">
        <v>10</v>
      </c>
    </row>
    <row r="13" spans="1:14" x14ac:dyDescent="0.3">
      <c r="A13">
        <f t="shared" si="0"/>
        <v>12</v>
      </c>
      <c r="B13">
        <f t="shared" si="2"/>
        <v>3</v>
      </c>
      <c r="C13" t="s">
        <v>178</v>
      </c>
      <c r="D13" t="s">
        <v>64</v>
      </c>
      <c r="E13" s="7" t="s">
        <v>234</v>
      </c>
      <c r="F13" t="s">
        <v>45</v>
      </c>
      <c r="H13" s="2" t="s">
        <v>102</v>
      </c>
      <c r="I13" t="s">
        <v>10</v>
      </c>
    </row>
    <row r="14" spans="1:14" x14ac:dyDescent="0.3">
      <c r="A14">
        <f t="shared" si="0"/>
        <v>13</v>
      </c>
      <c r="B14">
        <f t="shared" si="2"/>
        <v>1</v>
      </c>
      <c r="C14" t="s">
        <v>72</v>
      </c>
      <c r="D14" t="s">
        <v>71</v>
      </c>
      <c r="E14" s="7" t="s">
        <v>235</v>
      </c>
      <c r="F14" t="s">
        <v>49</v>
      </c>
      <c r="G14" t="s">
        <v>74</v>
      </c>
      <c r="I14" t="s">
        <v>10</v>
      </c>
      <c r="K14" t="s">
        <v>55</v>
      </c>
    </row>
    <row r="15" spans="1:14" x14ac:dyDescent="0.3">
      <c r="A15">
        <f t="shared" si="0"/>
        <v>14</v>
      </c>
      <c r="B15">
        <f t="shared" si="2"/>
        <v>2</v>
      </c>
      <c r="C15" t="s">
        <v>72</v>
      </c>
      <c r="D15" t="s">
        <v>70</v>
      </c>
      <c r="E15" s="7" t="s">
        <v>236</v>
      </c>
      <c r="F15" t="s">
        <v>45</v>
      </c>
      <c r="H15" s="2" t="s">
        <v>54</v>
      </c>
      <c r="I15" t="s">
        <v>10</v>
      </c>
      <c r="L15" t="s">
        <v>55</v>
      </c>
      <c r="N15" t="s">
        <v>73</v>
      </c>
    </row>
    <row r="16" spans="1:14" x14ac:dyDescent="0.3">
      <c r="A16">
        <f t="shared" si="0"/>
        <v>15</v>
      </c>
      <c r="B16">
        <f t="shared" si="2"/>
        <v>1</v>
      </c>
      <c r="C16" t="s">
        <v>20</v>
      </c>
      <c r="D16" t="s">
        <v>19</v>
      </c>
      <c r="E16" s="7" t="s">
        <v>237</v>
      </c>
      <c r="F16" t="s">
        <v>49</v>
      </c>
      <c r="G16" t="s">
        <v>74</v>
      </c>
      <c r="I16" t="s">
        <v>10</v>
      </c>
      <c r="K16" t="s">
        <v>55</v>
      </c>
    </row>
    <row r="17" spans="1:14" x14ac:dyDescent="0.3">
      <c r="A17">
        <f t="shared" si="0"/>
        <v>16</v>
      </c>
      <c r="B17">
        <f t="shared" si="2"/>
        <v>2</v>
      </c>
      <c r="C17" t="s">
        <v>20</v>
      </c>
      <c r="D17" t="s">
        <v>53</v>
      </c>
      <c r="E17" s="7" t="s">
        <v>238</v>
      </c>
      <c r="F17" t="s">
        <v>45</v>
      </c>
      <c r="H17" s="2" t="s">
        <v>68</v>
      </c>
      <c r="I17" t="s">
        <v>10</v>
      </c>
      <c r="L17" t="s">
        <v>55</v>
      </c>
      <c r="N17" t="s">
        <v>62</v>
      </c>
    </row>
    <row r="18" spans="1:14" x14ac:dyDescent="0.3">
      <c r="A18">
        <f t="shared" si="0"/>
        <v>17</v>
      </c>
      <c r="B18">
        <f t="shared" si="2"/>
        <v>1</v>
      </c>
      <c r="C18" t="s">
        <v>22</v>
      </c>
      <c r="D18" t="s">
        <v>50</v>
      </c>
      <c r="E18" s="7" t="s">
        <v>239</v>
      </c>
      <c r="F18" t="s">
        <v>49</v>
      </c>
      <c r="G18" t="s">
        <v>74</v>
      </c>
      <c r="I18" t="s">
        <v>10</v>
      </c>
      <c r="K18" t="s">
        <v>55</v>
      </c>
    </row>
    <row r="19" spans="1:14" x14ac:dyDescent="0.3">
      <c r="A19">
        <f t="shared" si="0"/>
        <v>18</v>
      </c>
      <c r="B19">
        <f t="shared" si="2"/>
        <v>2</v>
      </c>
      <c r="C19" t="s">
        <v>22</v>
      </c>
      <c r="D19" t="s">
        <v>56</v>
      </c>
      <c r="E19" s="7" t="s">
        <v>240</v>
      </c>
      <c r="F19" t="s">
        <v>45</v>
      </c>
      <c r="H19" s="2" t="s">
        <v>54</v>
      </c>
      <c r="I19" t="s">
        <v>10</v>
      </c>
      <c r="L19" t="s">
        <v>55</v>
      </c>
      <c r="N19" t="s">
        <v>69</v>
      </c>
    </row>
    <row r="20" spans="1:14" x14ac:dyDescent="0.3">
      <c r="A20">
        <f t="shared" si="0"/>
        <v>19</v>
      </c>
      <c r="B20">
        <f t="shared" si="2"/>
        <v>3</v>
      </c>
      <c r="C20" t="s">
        <v>22</v>
      </c>
      <c r="D20" t="s">
        <v>63</v>
      </c>
      <c r="E20" t="s">
        <v>65</v>
      </c>
      <c r="F20" t="s">
        <v>121</v>
      </c>
      <c r="I20" t="s">
        <v>10</v>
      </c>
    </row>
    <row r="21" spans="1:14" x14ac:dyDescent="0.3">
      <c r="A21">
        <f t="shared" si="0"/>
        <v>20</v>
      </c>
      <c r="B21">
        <f t="shared" si="2"/>
        <v>1</v>
      </c>
      <c r="C21" t="s">
        <v>29</v>
      </c>
      <c r="D21" t="s">
        <v>30</v>
      </c>
      <c r="E21" s="7" t="s">
        <v>241</v>
      </c>
      <c r="F21" t="s">
        <v>49</v>
      </c>
      <c r="G21" t="s">
        <v>12</v>
      </c>
      <c r="I21" t="s">
        <v>10</v>
      </c>
      <c r="K21" t="s">
        <v>55</v>
      </c>
    </row>
    <row r="22" spans="1:14" x14ac:dyDescent="0.3">
      <c r="A22">
        <f t="shared" si="0"/>
        <v>21</v>
      </c>
      <c r="B22">
        <f t="shared" si="2"/>
        <v>2</v>
      </c>
      <c r="C22" t="s">
        <v>29</v>
      </c>
      <c r="D22" t="s">
        <v>58</v>
      </c>
      <c r="E22" s="7" t="s">
        <v>242</v>
      </c>
      <c r="F22" t="s">
        <v>45</v>
      </c>
      <c r="H22" s="2" t="s">
        <v>54</v>
      </c>
      <c r="I22" t="s">
        <v>10</v>
      </c>
      <c r="L22" t="s">
        <v>55</v>
      </c>
    </row>
    <row r="23" spans="1:14" x14ac:dyDescent="0.3">
      <c r="A23">
        <f t="shared" si="0"/>
        <v>22</v>
      </c>
      <c r="B23">
        <f t="shared" si="2"/>
        <v>1</v>
      </c>
      <c r="C23" t="s">
        <v>59</v>
      </c>
      <c r="D23" t="s">
        <v>60</v>
      </c>
      <c r="E23" s="7" t="s">
        <v>243</v>
      </c>
      <c r="F23" t="s">
        <v>49</v>
      </c>
      <c r="G23" t="s">
        <v>12</v>
      </c>
      <c r="I23" t="s">
        <v>10</v>
      </c>
      <c r="K23" t="s">
        <v>55</v>
      </c>
    </row>
    <row r="24" spans="1:14" x14ac:dyDescent="0.3">
      <c r="A24">
        <f t="shared" si="0"/>
        <v>23</v>
      </c>
      <c r="B24">
        <f t="shared" si="2"/>
        <v>2</v>
      </c>
      <c r="C24" t="s">
        <v>59</v>
      </c>
      <c r="D24" t="s">
        <v>59</v>
      </c>
      <c r="E24" s="7" t="s">
        <v>244</v>
      </c>
      <c r="F24" t="s">
        <v>45</v>
      </c>
      <c r="H24" s="2" t="s">
        <v>46</v>
      </c>
      <c r="I24" t="s">
        <v>10</v>
      </c>
      <c r="L24" t="s">
        <v>55</v>
      </c>
    </row>
    <row r="25" spans="1:14" x14ac:dyDescent="0.3">
      <c r="A25">
        <f t="shared" si="0"/>
        <v>24</v>
      </c>
      <c r="B25">
        <f t="shared" si="2"/>
        <v>3</v>
      </c>
      <c r="C25" t="s">
        <v>59</v>
      </c>
      <c r="D25" t="s">
        <v>63</v>
      </c>
      <c r="E25" t="s">
        <v>65</v>
      </c>
      <c r="F25" t="s">
        <v>121</v>
      </c>
      <c r="I25" t="s">
        <v>10</v>
      </c>
    </row>
    <row r="26" spans="1:14" x14ac:dyDescent="0.3">
      <c r="A26">
        <f t="shared" si="0"/>
        <v>25</v>
      </c>
      <c r="B26">
        <f t="shared" si="2"/>
        <v>1</v>
      </c>
      <c r="C26" t="s">
        <v>0</v>
      </c>
      <c r="D26" t="s">
        <v>8</v>
      </c>
      <c r="E26" s="7" t="s">
        <v>245</v>
      </c>
      <c r="F26" t="s">
        <v>9</v>
      </c>
      <c r="G26" t="s">
        <v>12</v>
      </c>
      <c r="I26" t="s">
        <v>10</v>
      </c>
      <c r="K26" t="s">
        <v>55</v>
      </c>
    </row>
    <row r="27" spans="1:14" x14ac:dyDescent="0.3">
      <c r="A27">
        <f t="shared" si="0"/>
        <v>26</v>
      </c>
      <c r="B27">
        <f t="shared" si="2"/>
        <v>2</v>
      </c>
      <c r="C27" t="s">
        <v>0</v>
      </c>
      <c r="D27" t="s">
        <v>13</v>
      </c>
      <c r="E27" s="7" t="s">
        <v>246</v>
      </c>
      <c r="F27" t="s">
        <v>45</v>
      </c>
      <c r="H27" s="2" t="s">
        <v>46</v>
      </c>
      <c r="I27" t="s">
        <v>55</v>
      </c>
    </row>
    <row r="28" spans="1:14" x14ac:dyDescent="0.3">
      <c r="A28">
        <f t="shared" si="0"/>
        <v>27</v>
      </c>
      <c r="B28">
        <f t="shared" si="2"/>
        <v>3</v>
      </c>
      <c r="C28" t="s">
        <v>0</v>
      </c>
      <c r="D28" t="s">
        <v>14</v>
      </c>
      <c r="E28" s="7" t="s">
        <v>247</v>
      </c>
      <c r="F28" t="s">
        <v>45</v>
      </c>
      <c r="H28" s="2" t="s">
        <v>46</v>
      </c>
      <c r="I28" t="s">
        <v>55</v>
      </c>
    </row>
    <row r="29" spans="1:14" x14ac:dyDescent="0.3">
      <c r="A29">
        <f t="shared" si="0"/>
        <v>28</v>
      </c>
      <c r="B29">
        <f t="shared" si="2"/>
        <v>4</v>
      </c>
      <c r="C29" t="s">
        <v>0</v>
      </c>
      <c r="D29" t="s">
        <v>16</v>
      </c>
      <c r="E29" s="7" t="s">
        <v>248</v>
      </c>
      <c r="F29" t="s">
        <v>45</v>
      </c>
      <c r="H29" s="2" t="s">
        <v>46</v>
      </c>
      <c r="I29" t="s">
        <v>55</v>
      </c>
    </row>
    <row r="30" spans="1:14" x14ac:dyDescent="0.3">
      <c r="A30">
        <f t="shared" si="0"/>
        <v>29</v>
      </c>
      <c r="B30">
        <f t="shared" si="2"/>
        <v>5</v>
      </c>
      <c r="C30" t="s">
        <v>0</v>
      </c>
      <c r="D30" t="s">
        <v>15</v>
      </c>
      <c r="E30" s="7" t="s">
        <v>249</v>
      </c>
      <c r="F30" t="s">
        <v>45</v>
      </c>
      <c r="H30" s="2" t="s">
        <v>47</v>
      </c>
      <c r="I30" t="s">
        <v>55</v>
      </c>
    </row>
    <row r="31" spans="1:14" x14ac:dyDescent="0.3">
      <c r="A31">
        <f t="shared" si="0"/>
        <v>30</v>
      </c>
      <c r="B31">
        <f t="shared" si="2"/>
        <v>6</v>
      </c>
      <c r="C31" t="s">
        <v>0</v>
      </c>
      <c r="D31" t="s">
        <v>17</v>
      </c>
      <c r="E31" s="7" t="s">
        <v>250</v>
      </c>
      <c r="F31" t="s">
        <v>45</v>
      </c>
      <c r="H31" s="2" t="s">
        <v>47</v>
      </c>
      <c r="I31" t="s">
        <v>55</v>
      </c>
    </row>
    <row r="32" spans="1:14" x14ac:dyDescent="0.3">
      <c r="A32">
        <f t="shared" si="0"/>
        <v>31</v>
      </c>
      <c r="B32">
        <f t="shared" si="2"/>
        <v>7</v>
      </c>
      <c r="C32" t="s">
        <v>0</v>
      </c>
      <c r="D32" t="s">
        <v>42</v>
      </c>
      <c r="E32" s="7" t="s">
        <v>251</v>
      </c>
      <c r="F32" t="s">
        <v>45</v>
      </c>
      <c r="H32" s="2" t="s">
        <v>48</v>
      </c>
      <c r="I32" t="s">
        <v>10</v>
      </c>
    </row>
    <row r="33" spans="1:13" x14ac:dyDescent="0.3">
      <c r="A33">
        <f t="shared" si="0"/>
        <v>32</v>
      </c>
      <c r="B33">
        <f t="shared" si="2"/>
        <v>8</v>
      </c>
      <c r="C33" t="s">
        <v>0</v>
      </c>
      <c r="D33" t="s">
        <v>19</v>
      </c>
      <c r="E33" s="7" t="s">
        <v>237</v>
      </c>
      <c r="F33" t="s">
        <v>49</v>
      </c>
      <c r="I33" t="s">
        <v>10</v>
      </c>
      <c r="J33">
        <v>0</v>
      </c>
      <c r="M33" t="s">
        <v>21</v>
      </c>
    </row>
    <row r="34" spans="1:13" x14ac:dyDescent="0.3">
      <c r="A34">
        <f t="shared" si="0"/>
        <v>33</v>
      </c>
      <c r="B34">
        <f t="shared" si="2"/>
        <v>9</v>
      </c>
      <c r="C34" t="s">
        <v>0</v>
      </c>
      <c r="D34" t="s">
        <v>18</v>
      </c>
      <c r="E34" s="7" t="s">
        <v>252</v>
      </c>
      <c r="F34" t="s">
        <v>45</v>
      </c>
      <c r="H34" s="2" t="s">
        <v>54</v>
      </c>
      <c r="I34" t="s">
        <v>10</v>
      </c>
      <c r="L34" t="s">
        <v>55</v>
      </c>
    </row>
    <row r="35" spans="1:13" x14ac:dyDescent="0.3">
      <c r="A35">
        <f t="shared" si="0"/>
        <v>34</v>
      </c>
      <c r="B35">
        <f t="shared" si="2"/>
        <v>10</v>
      </c>
      <c r="C35" t="s">
        <v>0</v>
      </c>
      <c r="D35" t="s">
        <v>50</v>
      </c>
      <c r="E35" s="7" t="s">
        <v>239</v>
      </c>
      <c r="F35" t="s">
        <v>49</v>
      </c>
      <c r="I35" t="s">
        <v>10</v>
      </c>
      <c r="J35">
        <v>0</v>
      </c>
      <c r="M35" t="s">
        <v>51</v>
      </c>
    </row>
    <row r="36" spans="1:13" x14ac:dyDescent="0.3">
      <c r="A36">
        <f t="shared" si="0"/>
        <v>35</v>
      </c>
      <c r="B36">
        <f t="shared" si="2"/>
        <v>11</v>
      </c>
      <c r="C36" t="s">
        <v>0</v>
      </c>
      <c r="D36" t="s">
        <v>66</v>
      </c>
      <c r="E36" s="7" t="s">
        <v>253</v>
      </c>
      <c r="F36" t="s">
        <v>49</v>
      </c>
      <c r="I36" t="s">
        <v>10</v>
      </c>
      <c r="J36">
        <v>0</v>
      </c>
      <c r="M36" s="4" t="s">
        <v>212</v>
      </c>
    </row>
    <row r="37" spans="1:13" x14ac:dyDescent="0.3">
      <c r="A37">
        <f t="shared" si="0"/>
        <v>36</v>
      </c>
      <c r="B37">
        <f t="shared" si="2"/>
        <v>12</v>
      </c>
      <c r="C37" t="s">
        <v>0</v>
      </c>
      <c r="D37" t="s">
        <v>30</v>
      </c>
      <c r="E37" s="7" t="s">
        <v>241</v>
      </c>
      <c r="F37" t="s">
        <v>49</v>
      </c>
      <c r="I37" t="s">
        <v>10</v>
      </c>
      <c r="M37" t="s">
        <v>52</v>
      </c>
    </row>
    <row r="38" spans="1:13" x14ac:dyDescent="0.3">
      <c r="A38">
        <f t="shared" si="0"/>
        <v>37</v>
      </c>
      <c r="B38">
        <f t="shared" si="2"/>
        <v>13</v>
      </c>
      <c r="C38" t="s">
        <v>0</v>
      </c>
      <c r="D38" t="s">
        <v>71</v>
      </c>
      <c r="E38" s="7" t="s">
        <v>254</v>
      </c>
      <c r="F38" t="s">
        <v>49</v>
      </c>
      <c r="I38" t="s">
        <v>10</v>
      </c>
      <c r="M38" s="3" t="s">
        <v>211</v>
      </c>
    </row>
    <row r="39" spans="1:13" x14ac:dyDescent="0.3">
      <c r="A39">
        <f t="shared" si="0"/>
        <v>38</v>
      </c>
      <c r="B39">
        <f t="shared" si="2"/>
        <v>1</v>
      </c>
      <c r="C39" t="s">
        <v>103</v>
      </c>
      <c r="D39" t="s">
        <v>75</v>
      </c>
      <c r="E39" s="7" t="s">
        <v>255</v>
      </c>
      <c r="F39" t="s">
        <v>49</v>
      </c>
      <c r="I39" t="s">
        <v>10</v>
      </c>
      <c r="K39" t="s">
        <v>55</v>
      </c>
    </row>
    <row r="40" spans="1:13" x14ac:dyDescent="0.3">
      <c r="A40">
        <f t="shared" si="0"/>
        <v>39</v>
      </c>
      <c r="B40">
        <f t="shared" si="2"/>
        <v>2</v>
      </c>
      <c r="C40" t="s">
        <v>103</v>
      </c>
      <c r="D40" t="s">
        <v>104</v>
      </c>
      <c r="E40" s="7" t="s">
        <v>256</v>
      </c>
      <c r="F40" t="s">
        <v>45</v>
      </c>
      <c r="H40" s="2" t="s">
        <v>46</v>
      </c>
      <c r="I40" t="s">
        <v>10</v>
      </c>
      <c r="L40" t="s">
        <v>55</v>
      </c>
    </row>
    <row r="41" spans="1:13" x14ac:dyDescent="0.3">
      <c r="A41">
        <f t="shared" si="0"/>
        <v>40</v>
      </c>
      <c r="B41">
        <f t="shared" si="2"/>
        <v>1</v>
      </c>
      <c r="C41" t="s">
        <v>23</v>
      </c>
      <c r="D41" t="s">
        <v>67</v>
      </c>
      <c r="E41" s="7" t="s">
        <v>257</v>
      </c>
      <c r="F41" t="s">
        <v>9</v>
      </c>
      <c r="G41" t="s">
        <v>12</v>
      </c>
      <c r="I41" t="s">
        <v>10</v>
      </c>
      <c r="K41" t="s">
        <v>55</v>
      </c>
    </row>
    <row r="42" spans="1:13" x14ac:dyDescent="0.3">
      <c r="A42">
        <f t="shared" si="0"/>
        <v>41</v>
      </c>
      <c r="B42">
        <f t="shared" si="2"/>
        <v>2</v>
      </c>
      <c r="C42" t="s">
        <v>23</v>
      </c>
      <c r="D42" t="s">
        <v>79</v>
      </c>
      <c r="E42" s="7" t="s">
        <v>258</v>
      </c>
      <c r="F42" t="s">
        <v>121</v>
      </c>
      <c r="I42" t="s">
        <v>10</v>
      </c>
    </row>
    <row r="43" spans="1:13" x14ac:dyDescent="0.3">
      <c r="A43">
        <f t="shared" si="0"/>
        <v>42</v>
      </c>
      <c r="B43">
        <f t="shared" si="2"/>
        <v>3</v>
      </c>
      <c r="C43" t="s">
        <v>23</v>
      </c>
      <c r="D43" t="s">
        <v>81</v>
      </c>
      <c r="E43" s="7" t="s">
        <v>259</v>
      </c>
      <c r="F43" t="s">
        <v>45</v>
      </c>
      <c r="H43" s="2" t="s">
        <v>102</v>
      </c>
      <c r="I43" t="s">
        <v>10</v>
      </c>
      <c r="L43" t="s">
        <v>55</v>
      </c>
    </row>
    <row r="44" spans="1:13" x14ac:dyDescent="0.3">
      <c r="A44">
        <f t="shared" si="0"/>
        <v>43</v>
      </c>
      <c r="B44">
        <f t="shared" si="2"/>
        <v>4</v>
      </c>
      <c r="C44" t="s">
        <v>23</v>
      </c>
      <c r="D44" t="s">
        <v>80</v>
      </c>
      <c r="E44" s="7" t="s">
        <v>260</v>
      </c>
      <c r="F44" t="s">
        <v>45</v>
      </c>
      <c r="H44" s="2" t="s">
        <v>46</v>
      </c>
      <c r="I44" t="s">
        <v>10</v>
      </c>
      <c r="L44" t="s">
        <v>55</v>
      </c>
    </row>
    <row r="45" spans="1:13" x14ac:dyDescent="0.3">
      <c r="A45">
        <f t="shared" si="0"/>
        <v>44</v>
      </c>
      <c r="B45">
        <f t="shared" si="2"/>
        <v>5</v>
      </c>
      <c r="C45" t="s">
        <v>23</v>
      </c>
      <c r="D45" t="s">
        <v>75</v>
      </c>
      <c r="E45" s="7" t="s">
        <v>261</v>
      </c>
      <c r="F45" t="s">
        <v>49</v>
      </c>
      <c r="I45" t="s">
        <v>10</v>
      </c>
      <c r="M45" t="s">
        <v>106</v>
      </c>
    </row>
    <row r="46" spans="1:13" x14ac:dyDescent="0.3">
      <c r="A46">
        <f t="shared" si="0"/>
        <v>45</v>
      </c>
      <c r="B46">
        <f t="shared" si="2"/>
        <v>6</v>
      </c>
      <c r="C46" t="s">
        <v>23</v>
      </c>
      <c r="D46" t="s">
        <v>78</v>
      </c>
      <c r="E46" s="7" t="s">
        <v>262</v>
      </c>
      <c r="F46" t="s">
        <v>76</v>
      </c>
      <c r="H46" t="s">
        <v>77</v>
      </c>
      <c r="I46" t="s">
        <v>10</v>
      </c>
    </row>
    <row r="47" spans="1:13" x14ac:dyDescent="0.3">
      <c r="A47">
        <f t="shared" si="0"/>
        <v>46</v>
      </c>
      <c r="B47">
        <f t="shared" si="2"/>
        <v>7</v>
      </c>
      <c r="C47" t="s">
        <v>23</v>
      </c>
      <c r="D47" s="6" t="s">
        <v>220</v>
      </c>
      <c r="E47" s="7" t="s">
        <v>263</v>
      </c>
      <c r="F47" s="6" t="s">
        <v>221</v>
      </c>
      <c r="I47" t="s">
        <v>10</v>
      </c>
      <c r="L47" t="s">
        <v>105</v>
      </c>
      <c r="M47" s="5"/>
    </row>
    <row r="48" spans="1:13" x14ac:dyDescent="0.3">
      <c r="A48">
        <f t="shared" si="0"/>
        <v>47</v>
      </c>
      <c r="B48">
        <f t="shared" si="2"/>
        <v>8</v>
      </c>
      <c r="C48" t="s">
        <v>23</v>
      </c>
      <c r="D48" s="6" t="s">
        <v>222</v>
      </c>
      <c r="E48" s="7" t="s">
        <v>264</v>
      </c>
      <c r="F48" s="6" t="s">
        <v>221</v>
      </c>
      <c r="I48" t="s">
        <v>55</v>
      </c>
      <c r="L48" t="s">
        <v>68</v>
      </c>
      <c r="M48" s="5"/>
    </row>
    <row r="49" spans="1:13" x14ac:dyDescent="0.3">
      <c r="A49">
        <f t="shared" si="0"/>
        <v>48</v>
      </c>
      <c r="B49">
        <f t="shared" si="2"/>
        <v>9</v>
      </c>
      <c r="C49" t="s">
        <v>23</v>
      </c>
      <c r="D49" t="s">
        <v>82</v>
      </c>
      <c r="E49" s="7" t="s">
        <v>265</v>
      </c>
      <c r="F49" t="s">
        <v>121</v>
      </c>
      <c r="I49" t="s">
        <v>10</v>
      </c>
      <c r="K49" t="s">
        <v>105</v>
      </c>
    </row>
    <row r="50" spans="1:13" x14ac:dyDescent="0.3">
      <c r="A50">
        <f t="shared" si="0"/>
        <v>49</v>
      </c>
      <c r="B50">
        <f t="shared" si="2"/>
        <v>1</v>
      </c>
      <c r="C50" t="s">
        <v>88</v>
      </c>
      <c r="D50" t="s">
        <v>89</v>
      </c>
      <c r="E50" s="7" t="s">
        <v>266</v>
      </c>
      <c r="F50" t="s">
        <v>49</v>
      </c>
      <c r="I50" t="s">
        <v>10</v>
      </c>
    </row>
    <row r="51" spans="1:13" x14ac:dyDescent="0.3">
      <c r="A51">
        <f t="shared" si="0"/>
        <v>50</v>
      </c>
      <c r="B51">
        <f t="shared" si="2"/>
        <v>2</v>
      </c>
      <c r="C51" t="s">
        <v>88</v>
      </c>
      <c r="D51" t="s">
        <v>88</v>
      </c>
      <c r="E51" s="7" t="s">
        <v>267</v>
      </c>
      <c r="F51" t="s">
        <v>45</v>
      </c>
      <c r="H51" s="2" t="s">
        <v>46</v>
      </c>
      <c r="I51" t="s">
        <v>10</v>
      </c>
    </row>
    <row r="52" spans="1:13" x14ac:dyDescent="0.3">
      <c r="A52">
        <f t="shared" si="0"/>
        <v>51</v>
      </c>
      <c r="B52">
        <f t="shared" si="2"/>
        <v>1</v>
      </c>
      <c r="C52" t="s">
        <v>24</v>
      </c>
      <c r="D52" t="s">
        <v>83</v>
      </c>
      <c r="E52" s="7" t="s">
        <v>268</v>
      </c>
      <c r="F52" t="s">
        <v>9</v>
      </c>
      <c r="G52" t="s">
        <v>12</v>
      </c>
      <c r="H52" s="2" t="s">
        <v>107</v>
      </c>
      <c r="I52" t="s">
        <v>10</v>
      </c>
      <c r="K52" t="s">
        <v>55</v>
      </c>
    </row>
    <row r="53" spans="1:13" x14ac:dyDescent="0.3">
      <c r="A53">
        <f t="shared" si="0"/>
        <v>52</v>
      </c>
      <c r="B53">
        <f t="shared" si="2"/>
        <v>2</v>
      </c>
      <c r="C53" t="s">
        <v>24</v>
      </c>
      <c r="D53" t="s">
        <v>84</v>
      </c>
      <c r="E53" s="7" t="s">
        <v>266</v>
      </c>
      <c r="F53" t="s">
        <v>49</v>
      </c>
      <c r="H53" s="2" t="s">
        <v>107</v>
      </c>
      <c r="I53" t="s">
        <v>10</v>
      </c>
      <c r="M53" t="s">
        <v>108</v>
      </c>
    </row>
    <row r="54" spans="1:13" x14ac:dyDescent="0.3">
      <c r="A54">
        <f t="shared" si="0"/>
        <v>53</v>
      </c>
      <c r="B54">
        <f t="shared" si="2"/>
        <v>3</v>
      </c>
      <c r="C54" t="s">
        <v>24</v>
      </c>
      <c r="D54" t="s">
        <v>85</v>
      </c>
      <c r="E54" s="7" t="s">
        <v>269</v>
      </c>
      <c r="F54" t="s">
        <v>45</v>
      </c>
      <c r="H54" s="2" t="s">
        <v>102</v>
      </c>
      <c r="I54" t="s">
        <v>10</v>
      </c>
    </row>
    <row r="55" spans="1:13" x14ac:dyDescent="0.3">
      <c r="A55">
        <f t="shared" si="0"/>
        <v>54</v>
      </c>
      <c r="B55">
        <f t="shared" si="2"/>
        <v>4</v>
      </c>
      <c r="C55" t="s">
        <v>24</v>
      </c>
      <c r="D55" t="s">
        <v>110</v>
      </c>
      <c r="E55" s="7" t="s">
        <v>270</v>
      </c>
      <c r="F55" t="s">
        <v>45</v>
      </c>
      <c r="H55" s="2" t="s">
        <v>113</v>
      </c>
      <c r="I55" t="s">
        <v>55</v>
      </c>
    </row>
    <row r="56" spans="1:13" x14ac:dyDescent="0.3">
      <c r="A56">
        <f t="shared" si="0"/>
        <v>55</v>
      </c>
      <c r="B56">
        <f t="shared" si="2"/>
        <v>5</v>
      </c>
      <c r="C56" t="s">
        <v>24</v>
      </c>
      <c r="D56" t="s">
        <v>111</v>
      </c>
      <c r="E56" s="7" t="s">
        <v>271</v>
      </c>
      <c r="F56" t="s">
        <v>45</v>
      </c>
      <c r="H56" s="2" t="s">
        <v>47</v>
      </c>
      <c r="I56" t="s">
        <v>55</v>
      </c>
    </row>
    <row r="57" spans="1:13" x14ac:dyDescent="0.3">
      <c r="A57">
        <f t="shared" si="0"/>
        <v>56</v>
      </c>
      <c r="B57">
        <f t="shared" si="2"/>
        <v>6</v>
      </c>
      <c r="C57" t="s">
        <v>24</v>
      </c>
      <c r="D57" t="s">
        <v>112</v>
      </c>
      <c r="E57" s="7" t="s">
        <v>272</v>
      </c>
      <c r="F57" t="s">
        <v>45</v>
      </c>
      <c r="H57" s="2" t="s">
        <v>113</v>
      </c>
      <c r="I57" t="s">
        <v>55</v>
      </c>
    </row>
    <row r="58" spans="1:13" x14ac:dyDescent="0.3">
      <c r="A58">
        <f t="shared" si="0"/>
        <v>57</v>
      </c>
      <c r="B58">
        <f t="shared" si="2"/>
        <v>7</v>
      </c>
      <c r="C58" t="s">
        <v>24</v>
      </c>
      <c r="D58" t="s">
        <v>114</v>
      </c>
      <c r="E58" s="7" t="s">
        <v>273</v>
      </c>
      <c r="F58" t="s">
        <v>45</v>
      </c>
      <c r="H58" s="2" t="s">
        <v>102</v>
      </c>
      <c r="I58" t="s">
        <v>55</v>
      </c>
    </row>
    <row r="59" spans="1:13" x14ac:dyDescent="0.3">
      <c r="A59">
        <f t="shared" si="0"/>
        <v>58</v>
      </c>
      <c r="B59">
        <f t="shared" si="2"/>
        <v>8</v>
      </c>
      <c r="C59" t="s">
        <v>24</v>
      </c>
      <c r="D59" t="s">
        <v>86</v>
      </c>
      <c r="E59" s="7" t="s">
        <v>274</v>
      </c>
      <c r="F59" t="s">
        <v>9</v>
      </c>
      <c r="H59" s="2" t="s">
        <v>107</v>
      </c>
      <c r="I59" t="s">
        <v>10</v>
      </c>
      <c r="M59" s="3" t="s">
        <v>213</v>
      </c>
    </row>
    <row r="60" spans="1:13" x14ac:dyDescent="0.3">
      <c r="A60">
        <f t="shared" si="0"/>
        <v>59</v>
      </c>
      <c r="B60">
        <f t="shared" si="2"/>
        <v>9</v>
      </c>
      <c r="C60" t="s">
        <v>24</v>
      </c>
      <c r="D60" t="s">
        <v>82</v>
      </c>
      <c r="E60" s="7" t="s">
        <v>275</v>
      </c>
      <c r="F60" t="s">
        <v>121</v>
      </c>
      <c r="H60" s="2" t="s">
        <v>107</v>
      </c>
      <c r="I60" t="s">
        <v>10</v>
      </c>
    </row>
    <row r="61" spans="1:13" x14ac:dyDescent="0.3">
      <c r="A61">
        <f t="shared" si="0"/>
        <v>60</v>
      </c>
      <c r="B61">
        <f t="shared" si="2"/>
        <v>10</v>
      </c>
      <c r="C61" t="s">
        <v>24</v>
      </c>
      <c r="D61" t="s">
        <v>87</v>
      </c>
      <c r="E61" s="7" t="s">
        <v>276</v>
      </c>
      <c r="F61" t="s">
        <v>121</v>
      </c>
      <c r="H61" s="2" t="s">
        <v>107</v>
      </c>
      <c r="I61" t="s">
        <v>10</v>
      </c>
    </row>
    <row r="62" spans="1:13" x14ac:dyDescent="0.3">
      <c r="A62">
        <f t="shared" si="0"/>
        <v>61</v>
      </c>
      <c r="B62">
        <f t="shared" si="2"/>
        <v>1</v>
      </c>
      <c r="C62" t="s">
        <v>90</v>
      </c>
      <c r="D62" t="s">
        <v>91</v>
      </c>
      <c r="E62" s="7" t="s">
        <v>277</v>
      </c>
      <c r="F62" t="s">
        <v>49</v>
      </c>
      <c r="G62" t="s">
        <v>12</v>
      </c>
      <c r="H62" s="2" t="s">
        <v>107</v>
      </c>
      <c r="I62" t="s">
        <v>10</v>
      </c>
      <c r="K62" t="s">
        <v>55</v>
      </c>
    </row>
    <row r="63" spans="1:13" x14ac:dyDescent="0.3">
      <c r="A63">
        <f t="shared" si="0"/>
        <v>62</v>
      </c>
      <c r="B63">
        <f t="shared" si="2"/>
        <v>2</v>
      </c>
      <c r="C63" t="s">
        <v>90</v>
      </c>
      <c r="D63" t="s">
        <v>90</v>
      </c>
      <c r="E63" s="7" t="s">
        <v>278</v>
      </c>
      <c r="F63" t="s">
        <v>45</v>
      </c>
      <c r="H63" s="2" t="s">
        <v>46</v>
      </c>
      <c r="I63" t="s">
        <v>10</v>
      </c>
      <c r="L63" t="s">
        <v>55</v>
      </c>
    </row>
    <row r="64" spans="1:13" x14ac:dyDescent="0.3">
      <c r="A64">
        <f t="shared" si="0"/>
        <v>63</v>
      </c>
      <c r="B64">
        <f t="shared" si="2"/>
        <v>1</v>
      </c>
      <c r="C64" t="s">
        <v>27</v>
      </c>
      <c r="D64" t="s">
        <v>92</v>
      </c>
      <c r="E64" s="7" t="s">
        <v>279</v>
      </c>
      <c r="F64" t="s">
        <v>9</v>
      </c>
      <c r="G64" t="s">
        <v>12</v>
      </c>
      <c r="H64" s="2" t="s">
        <v>107</v>
      </c>
      <c r="I64" t="s">
        <v>10</v>
      </c>
      <c r="K64" t="s">
        <v>55</v>
      </c>
    </row>
    <row r="65" spans="1:13" x14ac:dyDescent="0.3">
      <c r="A65">
        <f t="shared" si="0"/>
        <v>64</v>
      </c>
      <c r="B65">
        <f t="shared" si="2"/>
        <v>2</v>
      </c>
      <c r="C65" t="s">
        <v>27</v>
      </c>
      <c r="D65" t="s">
        <v>93</v>
      </c>
      <c r="E65" s="7" t="s">
        <v>277</v>
      </c>
      <c r="F65" t="s">
        <v>49</v>
      </c>
      <c r="H65" s="2" t="s">
        <v>107</v>
      </c>
      <c r="I65" t="s">
        <v>10</v>
      </c>
      <c r="M65" t="s">
        <v>109</v>
      </c>
    </row>
    <row r="66" spans="1:13" x14ac:dyDescent="0.3">
      <c r="A66">
        <f t="shared" ref="A66:A129" si="3">+ROW()-1</f>
        <v>65</v>
      </c>
      <c r="B66">
        <f t="shared" si="2"/>
        <v>3</v>
      </c>
      <c r="C66" t="s">
        <v>27</v>
      </c>
      <c r="D66" t="s">
        <v>94</v>
      </c>
      <c r="E66" s="7" t="s">
        <v>280</v>
      </c>
      <c r="F66" t="s">
        <v>45</v>
      </c>
      <c r="H66" s="2" t="s">
        <v>47</v>
      </c>
      <c r="I66" t="s">
        <v>10</v>
      </c>
    </row>
    <row r="67" spans="1:13" x14ac:dyDescent="0.3">
      <c r="A67">
        <f t="shared" si="3"/>
        <v>66</v>
      </c>
      <c r="B67">
        <f t="shared" ref="B67:B130" si="4">+IF(C67=C66,B66+1,1)</f>
        <v>4</v>
      </c>
      <c r="C67" t="s">
        <v>27</v>
      </c>
      <c r="D67" t="s">
        <v>82</v>
      </c>
      <c r="E67" s="7" t="s">
        <v>281</v>
      </c>
      <c r="F67" t="s">
        <v>121</v>
      </c>
      <c r="H67" s="2" t="s">
        <v>107</v>
      </c>
      <c r="I67" t="s">
        <v>10</v>
      </c>
    </row>
    <row r="68" spans="1:13" x14ac:dyDescent="0.3">
      <c r="A68">
        <f t="shared" si="3"/>
        <v>67</v>
      </c>
      <c r="B68">
        <f t="shared" si="4"/>
        <v>1</v>
      </c>
      <c r="C68" t="s">
        <v>95</v>
      </c>
      <c r="D68" t="s">
        <v>96</v>
      </c>
      <c r="E68" s="7" t="s">
        <v>282</v>
      </c>
      <c r="F68" t="s">
        <v>49</v>
      </c>
      <c r="G68" t="s">
        <v>12</v>
      </c>
      <c r="H68" s="2" t="s">
        <v>107</v>
      </c>
      <c r="I68" t="s">
        <v>10</v>
      </c>
      <c r="K68" t="s">
        <v>55</v>
      </c>
    </row>
    <row r="69" spans="1:13" x14ac:dyDescent="0.3">
      <c r="A69">
        <f t="shared" si="3"/>
        <v>68</v>
      </c>
      <c r="B69">
        <f t="shared" si="4"/>
        <v>2</v>
      </c>
      <c r="C69" t="s">
        <v>95</v>
      </c>
      <c r="D69" t="s">
        <v>97</v>
      </c>
      <c r="E69" s="7" t="s">
        <v>283</v>
      </c>
      <c r="F69" t="s">
        <v>45</v>
      </c>
      <c r="H69" s="2" t="s">
        <v>46</v>
      </c>
      <c r="I69" t="s">
        <v>10</v>
      </c>
      <c r="L69" t="s">
        <v>55</v>
      </c>
    </row>
    <row r="70" spans="1:13" x14ac:dyDescent="0.3">
      <c r="A70">
        <f t="shared" si="3"/>
        <v>69</v>
      </c>
      <c r="B70">
        <f t="shared" si="4"/>
        <v>1</v>
      </c>
      <c r="C70" t="s">
        <v>28</v>
      </c>
      <c r="D70" t="s">
        <v>98</v>
      </c>
      <c r="E70" s="7" t="s">
        <v>284</v>
      </c>
      <c r="F70" t="s">
        <v>9</v>
      </c>
      <c r="G70" t="s">
        <v>12</v>
      </c>
      <c r="H70" s="2" t="s">
        <v>107</v>
      </c>
      <c r="I70" t="s">
        <v>10</v>
      </c>
      <c r="K70" t="s">
        <v>55</v>
      </c>
    </row>
    <row r="71" spans="1:13" x14ac:dyDescent="0.3">
      <c r="A71">
        <f t="shared" si="3"/>
        <v>70</v>
      </c>
      <c r="B71">
        <f t="shared" si="4"/>
        <v>2</v>
      </c>
      <c r="C71" t="s">
        <v>28</v>
      </c>
      <c r="D71" t="s">
        <v>96</v>
      </c>
      <c r="E71" s="7" t="s">
        <v>282</v>
      </c>
      <c r="F71" t="s">
        <v>49</v>
      </c>
      <c r="M71" t="s">
        <v>115</v>
      </c>
    </row>
    <row r="72" spans="1:13" x14ac:dyDescent="0.3">
      <c r="A72">
        <f t="shared" si="3"/>
        <v>71</v>
      </c>
      <c r="B72">
        <f t="shared" si="4"/>
        <v>3</v>
      </c>
      <c r="C72" t="s">
        <v>28</v>
      </c>
      <c r="D72" t="s">
        <v>99</v>
      </c>
      <c r="E72" s="7" t="s">
        <v>285</v>
      </c>
      <c r="F72" t="s">
        <v>45</v>
      </c>
      <c r="H72" s="2" t="s">
        <v>47</v>
      </c>
      <c r="I72" t="s">
        <v>10</v>
      </c>
    </row>
    <row r="73" spans="1:13" x14ac:dyDescent="0.3">
      <c r="A73">
        <f t="shared" si="3"/>
        <v>72</v>
      </c>
      <c r="B73">
        <f t="shared" si="4"/>
        <v>4</v>
      </c>
      <c r="C73" t="s">
        <v>28</v>
      </c>
      <c r="D73" t="s">
        <v>100</v>
      </c>
      <c r="E73" s="7" t="s">
        <v>286</v>
      </c>
      <c r="F73" t="s">
        <v>45</v>
      </c>
      <c r="H73" s="2" t="s">
        <v>54</v>
      </c>
      <c r="I73" t="s">
        <v>10</v>
      </c>
    </row>
    <row r="74" spans="1:13" x14ac:dyDescent="0.3">
      <c r="A74">
        <f t="shared" si="3"/>
        <v>73</v>
      </c>
      <c r="B74">
        <f t="shared" si="4"/>
        <v>5</v>
      </c>
      <c r="C74" t="s">
        <v>28</v>
      </c>
      <c r="D74" t="s">
        <v>101</v>
      </c>
      <c r="E74" s="7" t="s">
        <v>287</v>
      </c>
      <c r="F74" t="s">
        <v>45</v>
      </c>
      <c r="H74" s="2" t="s">
        <v>54</v>
      </c>
      <c r="I74" t="s">
        <v>55</v>
      </c>
    </row>
    <row r="75" spans="1:13" x14ac:dyDescent="0.3">
      <c r="A75">
        <f t="shared" si="3"/>
        <v>74</v>
      </c>
      <c r="B75">
        <f t="shared" si="4"/>
        <v>1</v>
      </c>
      <c r="C75" t="s">
        <v>181</v>
      </c>
      <c r="D75" t="s">
        <v>182</v>
      </c>
      <c r="E75" s="7" t="s">
        <v>288</v>
      </c>
      <c r="F75" t="s">
        <v>9</v>
      </c>
      <c r="I75" t="s">
        <v>10</v>
      </c>
      <c r="K75" t="s">
        <v>55</v>
      </c>
    </row>
    <row r="76" spans="1:13" x14ac:dyDescent="0.3">
      <c r="A76">
        <f t="shared" si="3"/>
        <v>75</v>
      </c>
      <c r="B76">
        <f t="shared" si="4"/>
        <v>2</v>
      </c>
      <c r="C76" t="s">
        <v>181</v>
      </c>
      <c r="D76" t="s">
        <v>183</v>
      </c>
      <c r="E76" s="7" t="s">
        <v>289</v>
      </c>
      <c r="F76" t="s">
        <v>45</v>
      </c>
      <c r="H76" s="2" t="s">
        <v>47</v>
      </c>
      <c r="I76" t="s">
        <v>10</v>
      </c>
      <c r="K76" t="s">
        <v>55</v>
      </c>
    </row>
    <row r="77" spans="1:13" x14ac:dyDescent="0.3">
      <c r="A77">
        <f t="shared" si="3"/>
        <v>76</v>
      </c>
      <c r="B77">
        <f t="shared" si="4"/>
        <v>1</v>
      </c>
      <c r="C77" t="s">
        <v>184</v>
      </c>
      <c r="D77" t="s">
        <v>185</v>
      </c>
      <c r="E77" s="7" t="s">
        <v>290</v>
      </c>
      <c r="F77" t="s">
        <v>9</v>
      </c>
      <c r="G77" t="s">
        <v>12</v>
      </c>
      <c r="H77" s="2" t="s">
        <v>107</v>
      </c>
      <c r="I77" t="s">
        <v>10</v>
      </c>
      <c r="K77" t="s">
        <v>55</v>
      </c>
    </row>
    <row r="78" spans="1:13" x14ac:dyDescent="0.3">
      <c r="A78">
        <f t="shared" si="3"/>
        <v>77</v>
      </c>
      <c r="B78">
        <f t="shared" si="4"/>
        <v>2</v>
      </c>
      <c r="C78" t="s">
        <v>184</v>
      </c>
      <c r="D78" t="s">
        <v>182</v>
      </c>
      <c r="E78" s="7" t="s">
        <v>288</v>
      </c>
      <c r="F78" t="s">
        <v>9</v>
      </c>
      <c r="I78" t="s">
        <v>10</v>
      </c>
      <c r="M78" s="4" t="s">
        <v>218</v>
      </c>
    </row>
    <row r="79" spans="1:13" x14ac:dyDescent="0.3">
      <c r="A79">
        <f t="shared" si="3"/>
        <v>78</v>
      </c>
      <c r="B79">
        <f t="shared" si="4"/>
        <v>3</v>
      </c>
      <c r="C79" t="s">
        <v>184</v>
      </c>
      <c r="D79" t="s">
        <v>117</v>
      </c>
      <c r="E79" s="7" t="s">
        <v>291</v>
      </c>
      <c r="F79" t="s">
        <v>45</v>
      </c>
      <c r="H79" s="2" t="s">
        <v>118</v>
      </c>
      <c r="I79" t="s">
        <v>10</v>
      </c>
    </row>
    <row r="80" spans="1:13" x14ac:dyDescent="0.3">
      <c r="A80">
        <f t="shared" si="3"/>
        <v>79</v>
      </c>
      <c r="B80">
        <f t="shared" si="4"/>
        <v>4</v>
      </c>
      <c r="C80" t="s">
        <v>184</v>
      </c>
      <c r="D80" t="s">
        <v>64</v>
      </c>
      <c r="E80" s="7" t="s">
        <v>292</v>
      </c>
      <c r="F80" t="s">
        <v>45</v>
      </c>
      <c r="H80" s="2" t="s">
        <v>119</v>
      </c>
      <c r="I80" t="s">
        <v>55</v>
      </c>
    </row>
    <row r="81" spans="1:13" x14ac:dyDescent="0.3">
      <c r="A81">
        <f t="shared" si="3"/>
        <v>80</v>
      </c>
      <c r="B81">
        <f t="shared" si="4"/>
        <v>5</v>
      </c>
      <c r="C81" t="s">
        <v>184</v>
      </c>
      <c r="D81" t="s">
        <v>120</v>
      </c>
      <c r="E81" s="7" t="s">
        <v>293</v>
      </c>
      <c r="F81" t="s">
        <v>121</v>
      </c>
      <c r="H81" s="2" t="s">
        <v>107</v>
      </c>
      <c r="I81" t="s">
        <v>10</v>
      </c>
      <c r="J81">
        <v>1</v>
      </c>
    </row>
    <row r="82" spans="1:13" x14ac:dyDescent="0.3">
      <c r="A82">
        <f t="shared" si="3"/>
        <v>81</v>
      </c>
      <c r="B82">
        <f t="shared" si="4"/>
        <v>6</v>
      </c>
      <c r="C82" t="s">
        <v>184</v>
      </c>
      <c r="D82" t="s">
        <v>122</v>
      </c>
      <c r="E82" s="7" t="s">
        <v>294</v>
      </c>
      <c r="F82" t="s">
        <v>123</v>
      </c>
      <c r="H82" s="2" t="s">
        <v>107</v>
      </c>
      <c r="I82" t="s">
        <v>10</v>
      </c>
      <c r="J82" t="s">
        <v>124</v>
      </c>
    </row>
    <row r="83" spans="1:13" x14ac:dyDescent="0.3">
      <c r="A83">
        <f t="shared" si="3"/>
        <v>82</v>
      </c>
      <c r="B83">
        <f t="shared" si="4"/>
        <v>1</v>
      </c>
      <c r="C83" t="s">
        <v>125</v>
      </c>
      <c r="D83" t="s">
        <v>126</v>
      </c>
      <c r="E83" s="7" t="s">
        <v>295</v>
      </c>
      <c r="F83" t="s">
        <v>9</v>
      </c>
      <c r="G83" t="s">
        <v>12</v>
      </c>
      <c r="H83" s="2" t="s">
        <v>107</v>
      </c>
      <c r="I83" t="s">
        <v>10</v>
      </c>
      <c r="K83" t="s">
        <v>55</v>
      </c>
    </row>
    <row r="84" spans="1:13" x14ac:dyDescent="0.3">
      <c r="A84">
        <f t="shared" si="3"/>
        <v>83</v>
      </c>
      <c r="B84">
        <f t="shared" si="4"/>
        <v>2</v>
      </c>
      <c r="C84" t="s">
        <v>125</v>
      </c>
      <c r="D84" t="s">
        <v>116</v>
      </c>
      <c r="E84" s="7" t="s">
        <v>296</v>
      </c>
      <c r="F84" t="s">
        <v>9</v>
      </c>
      <c r="H84" s="2" t="s">
        <v>107</v>
      </c>
      <c r="I84" t="s">
        <v>10</v>
      </c>
      <c r="M84" s="4" t="s">
        <v>219</v>
      </c>
    </row>
    <row r="85" spans="1:13" x14ac:dyDescent="0.3">
      <c r="A85">
        <f t="shared" si="3"/>
        <v>84</v>
      </c>
      <c r="B85">
        <f t="shared" si="4"/>
        <v>3</v>
      </c>
      <c r="C85" t="s">
        <v>125</v>
      </c>
      <c r="D85" t="s">
        <v>163</v>
      </c>
      <c r="E85" s="7" t="s">
        <v>297</v>
      </c>
      <c r="F85" t="s">
        <v>45</v>
      </c>
      <c r="H85" s="2" t="s">
        <v>118</v>
      </c>
      <c r="I85" t="s">
        <v>10</v>
      </c>
    </row>
    <row r="86" spans="1:13" x14ac:dyDescent="0.3">
      <c r="A86">
        <f t="shared" si="3"/>
        <v>85</v>
      </c>
      <c r="B86">
        <f t="shared" si="4"/>
        <v>4</v>
      </c>
      <c r="C86" t="s">
        <v>125</v>
      </c>
      <c r="D86" t="s">
        <v>43</v>
      </c>
      <c r="E86" s="7" t="s">
        <v>298</v>
      </c>
      <c r="F86" t="s">
        <v>9</v>
      </c>
      <c r="H86" s="2" t="s">
        <v>107</v>
      </c>
      <c r="I86" t="s">
        <v>10</v>
      </c>
    </row>
    <row r="87" spans="1:13" x14ac:dyDescent="0.3">
      <c r="A87">
        <f t="shared" si="3"/>
        <v>86</v>
      </c>
      <c r="B87">
        <f t="shared" si="4"/>
        <v>5</v>
      </c>
      <c r="C87" t="s">
        <v>125</v>
      </c>
      <c r="D87" t="s">
        <v>127</v>
      </c>
      <c r="E87" s="7" t="s">
        <v>299</v>
      </c>
      <c r="F87" t="s">
        <v>121</v>
      </c>
      <c r="H87" s="2" t="s">
        <v>107</v>
      </c>
      <c r="I87" t="s">
        <v>10</v>
      </c>
      <c r="J87">
        <v>0</v>
      </c>
    </row>
    <row r="88" spans="1:13" x14ac:dyDescent="0.3">
      <c r="A88">
        <f t="shared" si="3"/>
        <v>87</v>
      </c>
      <c r="B88">
        <f t="shared" si="4"/>
        <v>6</v>
      </c>
      <c r="C88" t="s">
        <v>125</v>
      </c>
      <c r="D88" t="s">
        <v>128</v>
      </c>
      <c r="E88" s="7" t="s">
        <v>300</v>
      </c>
      <c r="F88" t="s">
        <v>121</v>
      </c>
      <c r="H88" s="2" t="s">
        <v>107</v>
      </c>
      <c r="I88" t="s">
        <v>10</v>
      </c>
      <c r="J88">
        <v>0</v>
      </c>
    </row>
    <row r="89" spans="1:13" x14ac:dyDescent="0.3">
      <c r="A89">
        <f t="shared" si="3"/>
        <v>88</v>
      </c>
      <c r="B89">
        <f t="shared" si="4"/>
        <v>1</v>
      </c>
      <c r="C89" t="s">
        <v>164</v>
      </c>
      <c r="D89" t="s">
        <v>165</v>
      </c>
      <c r="E89" s="7" t="s">
        <v>301</v>
      </c>
      <c r="F89" t="s">
        <v>49</v>
      </c>
      <c r="G89" t="s">
        <v>12</v>
      </c>
      <c r="I89" t="s">
        <v>10</v>
      </c>
      <c r="K89" t="s">
        <v>55</v>
      </c>
    </row>
    <row r="90" spans="1:13" x14ac:dyDescent="0.3">
      <c r="A90">
        <f t="shared" si="3"/>
        <v>89</v>
      </c>
      <c r="B90">
        <f t="shared" si="4"/>
        <v>2</v>
      </c>
      <c r="C90" t="s">
        <v>164</v>
      </c>
      <c r="D90" t="s">
        <v>166</v>
      </c>
      <c r="E90" s="7" t="s">
        <v>302</v>
      </c>
      <c r="F90" t="s">
        <v>45</v>
      </c>
      <c r="H90" s="2" t="s">
        <v>46</v>
      </c>
      <c r="I90" t="s">
        <v>10</v>
      </c>
      <c r="L90" t="s">
        <v>55</v>
      </c>
    </row>
    <row r="91" spans="1:13" x14ac:dyDescent="0.3">
      <c r="A91">
        <f t="shared" si="3"/>
        <v>90</v>
      </c>
      <c r="B91">
        <f t="shared" si="4"/>
        <v>3</v>
      </c>
      <c r="C91" t="s">
        <v>164</v>
      </c>
      <c r="D91" t="s">
        <v>167</v>
      </c>
      <c r="E91" s="7" t="s">
        <v>303</v>
      </c>
      <c r="F91" t="s">
        <v>168</v>
      </c>
      <c r="H91" s="2" t="s">
        <v>169</v>
      </c>
      <c r="I91" t="s">
        <v>10</v>
      </c>
    </row>
    <row r="92" spans="1:13" x14ac:dyDescent="0.3">
      <c r="A92">
        <f t="shared" si="3"/>
        <v>91</v>
      </c>
      <c r="B92">
        <f t="shared" si="4"/>
        <v>1</v>
      </c>
      <c r="C92" t="s">
        <v>129</v>
      </c>
      <c r="D92" t="s">
        <v>130</v>
      </c>
      <c r="E92" s="7" t="s">
        <v>304</v>
      </c>
      <c r="F92" t="s">
        <v>9</v>
      </c>
      <c r="G92" t="s">
        <v>12</v>
      </c>
      <c r="H92" s="2" t="s">
        <v>107</v>
      </c>
      <c r="I92" t="s">
        <v>10</v>
      </c>
      <c r="K92" t="s">
        <v>55</v>
      </c>
    </row>
    <row r="93" spans="1:13" x14ac:dyDescent="0.3">
      <c r="A93">
        <f t="shared" si="3"/>
        <v>92</v>
      </c>
      <c r="B93">
        <f t="shared" si="4"/>
        <v>2</v>
      </c>
      <c r="C93" t="s">
        <v>129</v>
      </c>
      <c r="D93" t="s">
        <v>126</v>
      </c>
      <c r="E93" s="7" t="s">
        <v>305</v>
      </c>
      <c r="F93" t="s">
        <v>9</v>
      </c>
      <c r="H93" s="2" t="s">
        <v>107</v>
      </c>
      <c r="I93" t="s">
        <v>10</v>
      </c>
      <c r="M93" t="s">
        <v>131</v>
      </c>
    </row>
    <row r="94" spans="1:13" x14ac:dyDescent="0.3">
      <c r="A94">
        <f t="shared" si="3"/>
        <v>93</v>
      </c>
      <c r="B94">
        <f t="shared" si="4"/>
        <v>3</v>
      </c>
      <c r="C94" t="s">
        <v>129</v>
      </c>
      <c r="D94" t="s">
        <v>117</v>
      </c>
      <c r="E94" s="7" t="s">
        <v>306</v>
      </c>
      <c r="F94" t="s">
        <v>45</v>
      </c>
      <c r="H94" s="2" t="s">
        <v>47</v>
      </c>
      <c r="I94" t="s">
        <v>10</v>
      </c>
    </row>
    <row r="95" spans="1:13" x14ac:dyDescent="0.3">
      <c r="A95">
        <f t="shared" si="3"/>
        <v>94</v>
      </c>
      <c r="B95">
        <f t="shared" si="4"/>
        <v>4</v>
      </c>
      <c r="C95" t="s">
        <v>129</v>
      </c>
      <c r="D95" t="s">
        <v>170</v>
      </c>
      <c r="E95" s="7" t="s">
        <v>307</v>
      </c>
      <c r="F95" t="s">
        <v>49</v>
      </c>
      <c r="I95" t="s">
        <v>10</v>
      </c>
      <c r="M95" t="s">
        <v>171</v>
      </c>
    </row>
    <row r="96" spans="1:13" x14ac:dyDescent="0.3">
      <c r="A96">
        <f t="shared" si="3"/>
        <v>95</v>
      </c>
      <c r="B96">
        <f t="shared" si="4"/>
        <v>1</v>
      </c>
      <c r="C96" t="s">
        <v>133</v>
      </c>
      <c r="D96" t="s">
        <v>134</v>
      </c>
      <c r="E96" s="7" t="s">
        <v>308</v>
      </c>
      <c r="F96" t="s">
        <v>9</v>
      </c>
      <c r="G96" t="s">
        <v>12</v>
      </c>
      <c r="H96" s="2" t="s">
        <v>107</v>
      </c>
      <c r="I96" t="s">
        <v>10</v>
      </c>
      <c r="K96" t="s">
        <v>55</v>
      </c>
      <c r="L96" t="s">
        <v>55</v>
      </c>
    </row>
    <row r="97" spans="1:14" x14ac:dyDescent="0.3">
      <c r="A97">
        <f t="shared" si="3"/>
        <v>96</v>
      </c>
      <c r="B97">
        <f t="shared" si="4"/>
        <v>2</v>
      </c>
      <c r="C97" t="s">
        <v>133</v>
      </c>
      <c r="D97" t="s">
        <v>135</v>
      </c>
      <c r="E97" s="7" t="s">
        <v>309</v>
      </c>
      <c r="F97" t="s">
        <v>9</v>
      </c>
      <c r="H97" s="2" t="s">
        <v>107</v>
      </c>
      <c r="I97" t="s">
        <v>10</v>
      </c>
      <c r="L97" t="s">
        <v>55</v>
      </c>
      <c r="M97" t="s">
        <v>136</v>
      </c>
    </row>
    <row r="98" spans="1:14" x14ac:dyDescent="0.3">
      <c r="A98">
        <f t="shared" si="3"/>
        <v>97</v>
      </c>
      <c r="B98">
        <f t="shared" si="4"/>
        <v>3</v>
      </c>
      <c r="C98" t="s">
        <v>133</v>
      </c>
      <c r="D98" t="s">
        <v>137</v>
      </c>
      <c r="E98" s="7" t="s">
        <v>310</v>
      </c>
      <c r="F98" t="s">
        <v>9</v>
      </c>
      <c r="H98" s="2" t="s">
        <v>107</v>
      </c>
      <c r="I98" t="s">
        <v>55</v>
      </c>
      <c r="L98" t="s">
        <v>55</v>
      </c>
      <c r="M98" t="s">
        <v>131</v>
      </c>
    </row>
    <row r="99" spans="1:14" x14ac:dyDescent="0.3">
      <c r="A99">
        <f t="shared" si="3"/>
        <v>98</v>
      </c>
      <c r="B99">
        <f t="shared" si="4"/>
        <v>4</v>
      </c>
      <c r="C99" t="s">
        <v>133</v>
      </c>
      <c r="D99" t="s">
        <v>138</v>
      </c>
      <c r="E99" s="7" t="s">
        <v>311</v>
      </c>
      <c r="F99" t="s">
        <v>9</v>
      </c>
      <c r="H99" s="2" t="s">
        <v>107</v>
      </c>
      <c r="I99" t="s">
        <v>55</v>
      </c>
      <c r="L99" t="s">
        <v>55</v>
      </c>
      <c r="M99" t="s">
        <v>136</v>
      </c>
    </row>
    <row r="100" spans="1:14" x14ac:dyDescent="0.3">
      <c r="A100">
        <f t="shared" si="3"/>
        <v>99</v>
      </c>
      <c r="B100">
        <f t="shared" si="4"/>
        <v>1</v>
      </c>
      <c r="C100" t="s">
        <v>139</v>
      </c>
      <c r="D100" t="s">
        <v>140</v>
      </c>
      <c r="E100" s="7" t="s">
        <v>312</v>
      </c>
      <c r="F100" t="s">
        <v>9</v>
      </c>
      <c r="G100" t="s">
        <v>12</v>
      </c>
      <c r="H100" s="2" t="s">
        <v>107</v>
      </c>
      <c r="I100" t="s">
        <v>10</v>
      </c>
      <c r="K100" t="s">
        <v>55</v>
      </c>
    </row>
    <row r="101" spans="1:14" x14ac:dyDescent="0.3">
      <c r="A101">
        <f t="shared" si="3"/>
        <v>100</v>
      </c>
      <c r="B101">
        <f t="shared" si="4"/>
        <v>2</v>
      </c>
      <c r="C101" t="s">
        <v>139</v>
      </c>
      <c r="D101" t="s">
        <v>117</v>
      </c>
      <c r="E101" s="7" t="s">
        <v>313</v>
      </c>
      <c r="F101" t="s">
        <v>45</v>
      </c>
      <c r="H101" s="2" t="s">
        <v>118</v>
      </c>
      <c r="I101" t="s">
        <v>10</v>
      </c>
    </row>
    <row r="102" spans="1:14" x14ac:dyDescent="0.3">
      <c r="A102">
        <f t="shared" si="3"/>
        <v>101</v>
      </c>
      <c r="B102">
        <f t="shared" si="4"/>
        <v>3</v>
      </c>
      <c r="C102" t="s">
        <v>139</v>
      </c>
      <c r="D102" t="s">
        <v>64</v>
      </c>
      <c r="E102" s="7" t="s">
        <v>314</v>
      </c>
      <c r="F102" t="s">
        <v>45</v>
      </c>
      <c r="H102" s="2" t="s">
        <v>141</v>
      </c>
      <c r="I102" t="s">
        <v>55</v>
      </c>
    </row>
    <row r="103" spans="1:14" x14ac:dyDescent="0.3">
      <c r="A103">
        <f t="shared" si="3"/>
        <v>102</v>
      </c>
      <c r="B103">
        <f t="shared" si="4"/>
        <v>1</v>
      </c>
      <c r="C103" t="s">
        <v>142</v>
      </c>
      <c r="D103" t="s">
        <v>126</v>
      </c>
      <c r="E103" s="7" t="s">
        <v>315</v>
      </c>
      <c r="F103" t="s">
        <v>9</v>
      </c>
      <c r="H103" s="2" t="s">
        <v>107</v>
      </c>
      <c r="I103" t="s">
        <v>10</v>
      </c>
      <c r="K103" t="s">
        <v>55</v>
      </c>
      <c r="M103" t="s">
        <v>131</v>
      </c>
    </row>
    <row r="104" spans="1:14" x14ac:dyDescent="0.3">
      <c r="A104">
        <f t="shared" si="3"/>
        <v>103</v>
      </c>
      <c r="B104">
        <f t="shared" si="4"/>
        <v>2</v>
      </c>
      <c r="C104" t="s">
        <v>142</v>
      </c>
      <c r="D104" t="s">
        <v>140</v>
      </c>
      <c r="E104" s="7" t="s">
        <v>316</v>
      </c>
      <c r="F104" t="s">
        <v>9</v>
      </c>
      <c r="H104" s="2" t="s">
        <v>107</v>
      </c>
      <c r="I104" t="s">
        <v>10</v>
      </c>
      <c r="K104" t="s">
        <v>55</v>
      </c>
      <c r="M104" t="s">
        <v>143</v>
      </c>
    </row>
    <row r="105" spans="1:14" x14ac:dyDescent="0.3">
      <c r="A105">
        <f t="shared" si="3"/>
        <v>104</v>
      </c>
      <c r="B105">
        <f t="shared" si="4"/>
        <v>3</v>
      </c>
      <c r="C105" t="s">
        <v>142</v>
      </c>
      <c r="D105" t="s">
        <v>144</v>
      </c>
      <c r="E105" s="7" t="s">
        <v>317</v>
      </c>
      <c r="F105" t="s">
        <v>121</v>
      </c>
      <c r="H105" s="2" t="s">
        <v>107</v>
      </c>
      <c r="I105" t="s">
        <v>10</v>
      </c>
      <c r="J105">
        <v>0</v>
      </c>
    </row>
    <row r="106" spans="1:14" x14ac:dyDescent="0.3">
      <c r="A106">
        <f t="shared" si="3"/>
        <v>105</v>
      </c>
      <c r="B106">
        <f t="shared" si="4"/>
        <v>1</v>
      </c>
      <c r="C106" t="s">
        <v>145</v>
      </c>
      <c r="D106" t="s">
        <v>146</v>
      </c>
      <c r="E106" s="7" t="s">
        <v>318</v>
      </c>
      <c r="F106" t="s">
        <v>147</v>
      </c>
      <c r="G106" t="s">
        <v>12</v>
      </c>
      <c r="H106" s="2" t="s">
        <v>107</v>
      </c>
      <c r="I106" t="s">
        <v>10</v>
      </c>
      <c r="K106" t="s">
        <v>55</v>
      </c>
    </row>
    <row r="107" spans="1:14" x14ac:dyDescent="0.3">
      <c r="A107">
        <f t="shared" si="3"/>
        <v>106</v>
      </c>
      <c r="B107">
        <f t="shared" si="4"/>
        <v>2</v>
      </c>
      <c r="C107" t="s">
        <v>145</v>
      </c>
      <c r="D107" t="s">
        <v>116</v>
      </c>
      <c r="E107" s="7" t="s">
        <v>319</v>
      </c>
      <c r="F107" t="s">
        <v>9</v>
      </c>
      <c r="H107" s="2" t="s">
        <v>107</v>
      </c>
      <c r="I107" t="s">
        <v>10</v>
      </c>
      <c r="M107" s="4" t="s">
        <v>219</v>
      </c>
    </row>
    <row r="108" spans="1:14" x14ac:dyDescent="0.3">
      <c r="A108">
        <f t="shared" si="3"/>
        <v>107</v>
      </c>
      <c r="B108">
        <f t="shared" si="4"/>
        <v>3</v>
      </c>
      <c r="C108" t="s">
        <v>145</v>
      </c>
      <c r="D108" t="s">
        <v>148</v>
      </c>
      <c r="E108" s="7" t="s">
        <v>320</v>
      </c>
      <c r="F108" t="s">
        <v>147</v>
      </c>
      <c r="H108" s="2" t="s">
        <v>107</v>
      </c>
      <c r="I108" t="s">
        <v>55</v>
      </c>
      <c r="M108" s="3" t="s">
        <v>214</v>
      </c>
    </row>
    <row r="109" spans="1:14" x14ac:dyDescent="0.3">
      <c r="A109">
        <f t="shared" si="3"/>
        <v>108</v>
      </c>
      <c r="B109">
        <f t="shared" si="4"/>
        <v>4</v>
      </c>
      <c r="C109" t="s">
        <v>145</v>
      </c>
      <c r="D109" t="s">
        <v>149</v>
      </c>
      <c r="E109" s="7" t="s">
        <v>321</v>
      </c>
      <c r="F109" t="s">
        <v>9</v>
      </c>
      <c r="H109" s="2" t="s">
        <v>107</v>
      </c>
      <c r="I109" t="s">
        <v>10</v>
      </c>
      <c r="M109" t="s">
        <v>131</v>
      </c>
    </row>
    <row r="110" spans="1:14" x14ac:dyDescent="0.3">
      <c r="A110">
        <f t="shared" si="3"/>
        <v>109</v>
      </c>
      <c r="B110">
        <f t="shared" si="4"/>
        <v>5</v>
      </c>
      <c r="C110" t="s">
        <v>145</v>
      </c>
      <c r="D110" t="s">
        <v>150</v>
      </c>
      <c r="E110" s="7" t="s">
        <v>322</v>
      </c>
      <c r="F110" t="s">
        <v>9</v>
      </c>
      <c r="H110" s="2" t="s">
        <v>107</v>
      </c>
      <c r="I110" t="s">
        <v>10</v>
      </c>
      <c r="M110" t="s">
        <v>136</v>
      </c>
    </row>
    <row r="111" spans="1:14" x14ac:dyDescent="0.3">
      <c r="A111">
        <f t="shared" si="3"/>
        <v>110</v>
      </c>
      <c r="B111">
        <f t="shared" si="4"/>
        <v>6</v>
      </c>
      <c r="C111" t="s">
        <v>145</v>
      </c>
      <c r="D111" t="s">
        <v>151</v>
      </c>
      <c r="E111" s="7" t="s">
        <v>323</v>
      </c>
      <c r="F111" t="s">
        <v>132</v>
      </c>
      <c r="H111" s="2" t="s">
        <v>54</v>
      </c>
      <c r="I111" t="s">
        <v>10</v>
      </c>
      <c r="J111" t="s">
        <v>152</v>
      </c>
      <c r="N111" t="s">
        <v>153</v>
      </c>
    </row>
    <row r="112" spans="1:14" x14ac:dyDescent="0.3">
      <c r="A112">
        <f t="shared" si="3"/>
        <v>111</v>
      </c>
      <c r="B112">
        <f t="shared" si="4"/>
        <v>7</v>
      </c>
      <c r="C112" t="s">
        <v>145</v>
      </c>
      <c r="D112" t="s">
        <v>122</v>
      </c>
      <c r="E112" s="7" t="s">
        <v>324</v>
      </c>
      <c r="F112" t="s">
        <v>123</v>
      </c>
      <c r="H112" s="2" t="s">
        <v>107</v>
      </c>
      <c r="I112" t="s">
        <v>10</v>
      </c>
      <c r="J112" t="s">
        <v>197</v>
      </c>
    </row>
    <row r="113" spans="1:13" x14ac:dyDescent="0.3">
      <c r="A113">
        <f t="shared" si="3"/>
        <v>112</v>
      </c>
      <c r="B113">
        <f t="shared" si="4"/>
        <v>1</v>
      </c>
      <c r="C113" t="s">
        <v>193</v>
      </c>
      <c r="D113" t="s">
        <v>196</v>
      </c>
      <c r="E113" s="7" t="s">
        <v>325</v>
      </c>
      <c r="F113" t="s">
        <v>49</v>
      </c>
      <c r="G113" t="s">
        <v>12</v>
      </c>
      <c r="I113" t="s">
        <v>10</v>
      </c>
      <c r="K113" t="s">
        <v>55</v>
      </c>
    </row>
    <row r="114" spans="1:13" x14ac:dyDescent="0.3">
      <c r="A114">
        <f t="shared" si="3"/>
        <v>113</v>
      </c>
      <c r="B114">
        <f t="shared" si="4"/>
        <v>2</v>
      </c>
      <c r="C114" t="s">
        <v>193</v>
      </c>
      <c r="D114" t="s">
        <v>191</v>
      </c>
      <c r="E114" s="7" t="s">
        <v>326</v>
      </c>
      <c r="F114" t="s">
        <v>45</v>
      </c>
      <c r="H114" s="2" t="s">
        <v>54</v>
      </c>
      <c r="I114" t="s">
        <v>10</v>
      </c>
      <c r="L114" t="s">
        <v>55</v>
      </c>
    </row>
    <row r="115" spans="1:13" x14ac:dyDescent="0.3">
      <c r="A115">
        <f t="shared" si="3"/>
        <v>114</v>
      </c>
      <c r="B115">
        <f t="shared" si="4"/>
        <v>3</v>
      </c>
      <c r="C115" t="s">
        <v>193</v>
      </c>
      <c r="D115" t="s">
        <v>167</v>
      </c>
      <c r="E115" s="7" t="s">
        <v>327</v>
      </c>
      <c r="F115" t="s">
        <v>168</v>
      </c>
      <c r="H115" s="2" t="s">
        <v>169</v>
      </c>
      <c r="I115" t="s">
        <v>10</v>
      </c>
    </row>
    <row r="116" spans="1:13" x14ac:dyDescent="0.3">
      <c r="A116">
        <f t="shared" si="3"/>
        <v>115</v>
      </c>
      <c r="B116">
        <f t="shared" si="4"/>
        <v>4</v>
      </c>
      <c r="C116" t="s">
        <v>193</v>
      </c>
      <c r="D116" t="s">
        <v>194</v>
      </c>
      <c r="E116" s="7" t="s">
        <v>328</v>
      </c>
      <c r="F116" t="s">
        <v>121</v>
      </c>
      <c r="I116" t="s">
        <v>10</v>
      </c>
    </row>
    <row r="117" spans="1:13" x14ac:dyDescent="0.3">
      <c r="A117">
        <f t="shared" si="3"/>
        <v>116</v>
      </c>
      <c r="B117">
        <f t="shared" si="4"/>
        <v>5</v>
      </c>
      <c r="C117" t="s">
        <v>193</v>
      </c>
      <c r="D117" t="s">
        <v>195</v>
      </c>
      <c r="E117" s="7" t="s">
        <v>329</v>
      </c>
      <c r="F117" t="s">
        <v>121</v>
      </c>
      <c r="I117" t="s">
        <v>10</v>
      </c>
    </row>
    <row r="118" spans="1:13" x14ac:dyDescent="0.3">
      <c r="A118">
        <f t="shared" si="3"/>
        <v>117</v>
      </c>
      <c r="B118">
        <f t="shared" si="4"/>
        <v>6</v>
      </c>
      <c r="C118" t="s">
        <v>193</v>
      </c>
      <c r="D118" t="s">
        <v>199</v>
      </c>
      <c r="E118" s="7" t="s">
        <v>330</v>
      </c>
      <c r="F118" t="s">
        <v>45</v>
      </c>
      <c r="H118" s="2" t="s">
        <v>198</v>
      </c>
      <c r="I118" t="s">
        <v>55</v>
      </c>
    </row>
    <row r="119" spans="1:13" x14ac:dyDescent="0.3">
      <c r="A119">
        <f t="shared" si="3"/>
        <v>118</v>
      </c>
      <c r="B119">
        <f t="shared" si="4"/>
        <v>1</v>
      </c>
      <c r="C119" t="s">
        <v>192</v>
      </c>
      <c r="D119" t="s">
        <v>189</v>
      </c>
      <c r="E119" s="7" t="s">
        <v>331</v>
      </c>
      <c r="F119" t="s">
        <v>9</v>
      </c>
      <c r="G119" t="s">
        <v>12</v>
      </c>
      <c r="I119" t="s">
        <v>10</v>
      </c>
      <c r="K119" t="s">
        <v>55</v>
      </c>
    </row>
    <row r="120" spans="1:13" x14ac:dyDescent="0.3">
      <c r="A120">
        <f t="shared" si="3"/>
        <v>119</v>
      </c>
      <c r="B120">
        <f t="shared" si="4"/>
        <v>2</v>
      </c>
      <c r="C120" t="s">
        <v>192</v>
      </c>
      <c r="D120" t="s">
        <v>190</v>
      </c>
      <c r="E120" s="7" t="s">
        <v>332</v>
      </c>
      <c r="F120" t="s">
        <v>200</v>
      </c>
      <c r="H120" s="2" t="s">
        <v>47</v>
      </c>
      <c r="I120" t="s">
        <v>10</v>
      </c>
      <c r="L120" t="s">
        <v>55</v>
      </c>
    </row>
    <row r="121" spans="1:13" x14ac:dyDescent="0.3">
      <c r="A121">
        <f t="shared" si="3"/>
        <v>120</v>
      </c>
      <c r="B121">
        <f t="shared" si="4"/>
        <v>3</v>
      </c>
      <c r="C121" t="s">
        <v>192</v>
      </c>
      <c r="D121" t="s">
        <v>64</v>
      </c>
      <c r="E121" s="7" t="s">
        <v>333</v>
      </c>
      <c r="F121" t="s">
        <v>200</v>
      </c>
      <c r="H121" s="2" t="s">
        <v>102</v>
      </c>
      <c r="I121" t="s">
        <v>10</v>
      </c>
    </row>
    <row r="122" spans="1:13" x14ac:dyDescent="0.3">
      <c r="A122">
        <f t="shared" si="3"/>
        <v>121</v>
      </c>
      <c r="B122">
        <f t="shared" si="4"/>
        <v>4</v>
      </c>
      <c r="C122" t="s">
        <v>192</v>
      </c>
      <c r="D122" t="s">
        <v>196</v>
      </c>
      <c r="E122" s="7" t="s">
        <v>334</v>
      </c>
      <c r="F122" t="s">
        <v>49</v>
      </c>
      <c r="I122" t="s">
        <v>10</v>
      </c>
      <c r="M122" s="3" t="s">
        <v>215</v>
      </c>
    </row>
    <row r="123" spans="1:13" x14ac:dyDescent="0.3">
      <c r="A123">
        <f t="shared" si="3"/>
        <v>122</v>
      </c>
      <c r="B123">
        <f t="shared" si="4"/>
        <v>1</v>
      </c>
      <c r="C123" t="s">
        <v>203</v>
      </c>
      <c r="D123" t="s">
        <v>189</v>
      </c>
      <c r="E123" s="7" t="s">
        <v>335</v>
      </c>
      <c r="F123" t="s">
        <v>49</v>
      </c>
      <c r="I123" t="s">
        <v>10</v>
      </c>
      <c r="M123" s="3" t="s">
        <v>216</v>
      </c>
    </row>
    <row r="124" spans="1:13" x14ac:dyDescent="0.3">
      <c r="A124">
        <f t="shared" si="3"/>
        <v>123</v>
      </c>
      <c r="B124">
        <f t="shared" si="4"/>
        <v>2</v>
      </c>
      <c r="C124" t="s">
        <v>203</v>
      </c>
      <c r="D124" t="s">
        <v>204</v>
      </c>
      <c r="E124" s="7" t="s">
        <v>336</v>
      </c>
      <c r="F124" t="s">
        <v>9</v>
      </c>
      <c r="I124" t="s">
        <v>10</v>
      </c>
      <c r="M124" s="3" t="s">
        <v>131</v>
      </c>
    </row>
    <row r="125" spans="1:13" x14ac:dyDescent="0.3">
      <c r="A125">
        <f t="shared" si="3"/>
        <v>124</v>
      </c>
      <c r="B125">
        <f t="shared" si="4"/>
        <v>3</v>
      </c>
      <c r="C125" t="s">
        <v>203</v>
      </c>
      <c r="D125" t="s">
        <v>144</v>
      </c>
      <c r="E125" s="7" t="s">
        <v>337</v>
      </c>
      <c r="F125" t="s">
        <v>121</v>
      </c>
      <c r="I125" t="s">
        <v>10</v>
      </c>
    </row>
    <row r="126" spans="1:13" x14ac:dyDescent="0.3">
      <c r="A126">
        <f t="shared" si="3"/>
        <v>125</v>
      </c>
      <c r="B126">
        <f t="shared" si="4"/>
        <v>1</v>
      </c>
      <c r="C126" t="s">
        <v>154</v>
      </c>
      <c r="D126" t="s">
        <v>155</v>
      </c>
      <c r="E126" s="7" t="s">
        <v>338</v>
      </c>
      <c r="F126" t="s">
        <v>147</v>
      </c>
      <c r="G126" t="s">
        <v>12</v>
      </c>
      <c r="H126" s="2" t="s">
        <v>107</v>
      </c>
      <c r="I126" t="s">
        <v>10</v>
      </c>
      <c r="K126" t="s">
        <v>55</v>
      </c>
    </row>
    <row r="127" spans="1:13" x14ac:dyDescent="0.3">
      <c r="A127">
        <f t="shared" si="3"/>
        <v>126</v>
      </c>
      <c r="B127">
        <f t="shared" si="4"/>
        <v>2</v>
      </c>
      <c r="C127" t="s">
        <v>154</v>
      </c>
      <c r="D127" t="s">
        <v>146</v>
      </c>
      <c r="E127" s="7" t="s">
        <v>339</v>
      </c>
      <c r="F127" t="s">
        <v>147</v>
      </c>
      <c r="H127" s="2" t="s">
        <v>107</v>
      </c>
      <c r="I127" t="s">
        <v>10</v>
      </c>
      <c r="M127" t="s">
        <v>156</v>
      </c>
    </row>
    <row r="128" spans="1:13" x14ac:dyDescent="0.3">
      <c r="A128">
        <f t="shared" si="3"/>
        <v>127</v>
      </c>
      <c r="B128">
        <f t="shared" si="4"/>
        <v>3</v>
      </c>
      <c r="C128" t="s">
        <v>154</v>
      </c>
      <c r="D128" t="s">
        <v>126</v>
      </c>
      <c r="E128" s="7" t="s">
        <v>340</v>
      </c>
      <c r="F128" t="s">
        <v>9</v>
      </c>
      <c r="H128" s="2" t="s">
        <v>107</v>
      </c>
      <c r="I128" t="s">
        <v>10</v>
      </c>
      <c r="M128" t="s">
        <v>131</v>
      </c>
    </row>
    <row r="129" spans="1:13" x14ac:dyDescent="0.3">
      <c r="A129">
        <f t="shared" si="3"/>
        <v>128</v>
      </c>
      <c r="B129">
        <f t="shared" si="4"/>
        <v>4</v>
      </c>
      <c r="C129" t="s">
        <v>154</v>
      </c>
      <c r="D129" t="s">
        <v>130</v>
      </c>
      <c r="E129" s="7" t="s">
        <v>341</v>
      </c>
      <c r="F129" t="s">
        <v>9</v>
      </c>
      <c r="H129" s="2" t="s">
        <v>107</v>
      </c>
      <c r="I129" t="s">
        <v>10</v>
      </c>
      <c r="M129" t="s">
        <v>136</v>
      </c>
    </row>
    <row r="130" spans="1:13" x14ac:dyDescent="0.3">
      <c r="A130">
        <f t="shared" ref="A130:A144" si="5">+ROW()-1</f>
        <v>129</v>
      </c>
      <c r="B130">
        <f t="shared" si="4"/>
        <v>5</v>
      </c>
      <c r="C130" t="s">
        <v>154</v>
      </c>
      <c r="D130" t="s">
        <v>157</v>
      </c>
      <c r="E130" s="7" t="s">
        <v>342</v>
      </c>
      <c r="F130" t="s">
        <v>123</v>
      </c>
      <c r="H130" s="2" t="s">
        <v>107</v>
      </c>
      <c r="I130" t="s">
        <v>10</v>
      </c>
      <c r="J130" t="s">
        <v>124</v>
      </c>
    </row>
    <row r="131" spans="1:13" x14ac:dyDescent="0.3">
      <c r="A131">
        <f t="shared" si="5"/>
        <v>130</v>
      </c>
      <c r="B131">
        <f t="shared" ref="B131:B144" si="6">+IF(C131=C130,B130+1,1)</f>
        <v>6</v>
      </c>
      <c r="C131" t="s">
        <v>154</v>
      </c>
      <c r="D131" t="s">
        <v>158</v>
      </c>
      <c r="E131" s="7" t="s">
        <v>343</v>
      </c>
      <c r="F131" t="s">
        <v>45</v>
      </c>
      <c r="H131" s="2" t="s">
        <v>47</v>
      </c>
      <c r="I131" t="s">
        <v>55</v>
      </c>
      <c r="M131" s="3" t="s">
        <v>217</v>
      </c>
    </row>
    <row r="132" spans="1:13" x14ac:dyDescent="0.3">
      <c r="A132">
        <f t="shared" si="5"/>
        <v>131</v>
      </c>
      <c r="B132">
        <f t="shared" si="6"/>
        <v>7</v>
      </c>
      <c r="C132" t="s">
        <v>154</v>
      </c>
      <c r="D132" t="s">
        <v>159</v>
      </c>
      <c r="E132" s="7" t="s">
        <v>344</v>
      </c>
      <c r="F132" t="s">
        <v>45</v>
      </c>
      <c r="H132" s="2" t="s">
        <v>119</v>
      </c>
      <c r="I132" t="s">
        <v>55</v>
      </c>
    </row>
    <row r="133" spans="1:13" x14ac:dyDescent="0.3">
      <c r="A133">
        <f t="shared" si="5"/>
        <v>132</v>
      </c>
      <c r="B133">
        <f t="shared" si="6"/>
        <v>1</v>
      </c>
      <c r="C133" t="s">
        <v>160</v>
      </c>
      <c r="D133" t="s">
        <v>146</v>
      </c>
      <c r="E133" s="7" t="s">
        <v>339</v>
      </c>
      <c r="F133" t="s">
        <v>147</v>
      </c>
      <c r="H133" s="2" t="s">
        <v>107</v>
      </c>
      <c r="I133" t="s">
        <v>10</v>
      </c>
      <c r="K133" t="s">
        <v>55</v>
      </c>
      <c r="M133" t="s">
        <v>156</v>
      </c>
    </row>
    <row r="134" spans="1:13" x14ac:dyDescent="0.3">
      <c r="A134">
        <f t="shared" si="5"/>
        <v>133</v>
      </c>
      <c r="B134">
        <f t="shared" si="6"/>
        <v>2</v>
      </c>
      <c r="C134" t="s">
        <v>160</v>
      </c>
      <c r="D134" t="s">
        <v>140</v>
      </c>
      <c r="E134" s="7" t="s">
        <v>316</v>
      </c>
      <c r="F134" t="s">
        <v>9</v>
      </c>
      <c r="H134" s="2" t="s">
        <v>107</v>
      </c>
      <c r="I134" t="s">
        <v>10</v>
      </c>
      <c r="K134" t="s">
        <v>55</v>
      </c>
      <c r="M134" t="s">
        <v>143</v>
      </c>
    </row>
    <row r="135" spans="1:13" x14ac:dyDescent="0.3">
      <c r="A135">
        <f t="shared" si="5"/>
        <v>134</v>
      </c>
      <c r="B135">
        <f t="shared" si="6"/>
        <v>3</v>
      </c>
      <c r="C135" t="s">
        <v>160</v>
      </c>
      <c r="D135" t="s">
        <v>161</v>
      </c>
      <c r="E135" s="7" t="s">
        <v>345</v>
      </c>
      <c r="F135" t="s">
        <v>45</v>
      </c>
      <c r="H135" s="2" t="s">
        <v>119</v>
      </c>
      <c r="I135" t="s">
        <v>55</v>
      </c>
    </row>
    <row r="136" spans="1:13" x14ac:dyDescent="0.3">
      <c r="A136">
        <f t="shared" si="5"/>
        <v>135</v>
      </c>
      <c r="B136">
        <f t="shared" si="6"/>
        <v>4</v>
      </c>
      <c r="C136" t="s">
        <v>160</v>
      </c>
      <c r="D136" t="s">
        <v>162</v>
      </c>
      <c r="E136" s="7" t="s">
        <v>346</v>
      </c>
      <c r="F136" t="s">
        <v>123</v>
      </c>
      <c r="H136" s="2" t="s">
        <v>107</v>
      </c>
      <c r="I136" t="s">
        <v>10</v>
      </c>
      <c r="J136" t="s">
        <v>124</v>
      </c>
    </row>
    <row r="137" spans="1:13" x14ac:dyDescent="0.3">
      <c r="A137">
        <f t="shared" si="5"/>
        <v>136</v>
      </c>
      <c r="B137">
        <f t="shared" si="6"/>
        <v>5</v>
      </c>
      <c r="C137" t="s">
        <v>160</v>
      </c>
      <c r="D137" t="s">
        <v>210</v>
      </c>
      <c r="E137" s="7" t="s">
        <v>347</v>
      </c>
      <c r="F137" t="s">
        <v>9</v>
      </c>
      <c r="I137" t="s">
        <v>10</v>
      </c>
      <c r="M137" s="3" t="s">
        <v>217</v>
      </c>
    </row>
    <row r="138" spans="1:13" x14ac:dyDescent="0.3">
      <c r="A138">
        <f t="shared" si="5"/>
        <v>137</v>
      </c>
      <c r="B138">
        <f t="shared" si="6"/>
        <v>1</v>
      </c>
      <c r="C138" t="s">
        <v>201</v>
      </c>
      <c r="D138" t="s">
        <v>146</v>
      </c>
      <c r="E138" s="7" t="s">
        <v>339</v>
      </c>
      <c r="F138" t="s">
        <v>147</v>
      </c>
      <c r="I138" t="s">
        <v>10</v>
      </c>
      <c r="M138" s="3" t="s">
        <v>156</v>
      </c>
    </row>
    <row r="139" spans="1:13" x14ac:dyDescent="0.3">
      <c r="A139">
        <f t="shared" si="5"/>
        <v>138</v>
      </c>
      <c r="B139">
        <f t="shared" si="6"/>
        <v>2</v>
      </c>
      <c r="C139" t="s">
        <v>201</v>
      </c>
      <c r="D139" t="s">
        <v>189</v>
      </c>
      <c r="E139" s="7" t="s">
        <v>335</v>
      </c>
      <c r="F139" t="s">
        <v>9</v>
      </c>
      <c r="I139" t="s">
        <v>10</v>
      </c>
      <c r="M139" s="3" t="s">
        <v>216</v>
      </c>
    </row>
    <row r="140" spans="1:13" x14ac:dyDescent="0.3">
      <c r="A140">
        <f t="shared" si="5"/>
        <v>139</v>
      </c>
      <c r="B140">
        <f t="shared" si="6"/>
        <v>3</v>
      </c>
      <c r="C140" t="s">
        <v>201</v>
      </c>
      <c r="D140" t="s">
        <v>202</v>
      </c>
      <c r="E140" s="7" t="s">
        <v>348</v>
      </c>
      <c r="F140" t="s">
        <v>45</v>
      </c>
      <c r="H140" s="2" t="s">
        <v>209</v>
      </c>
      <c r="I140" t="s">
        <v>10</v>
      </c>
    </row>
    <row r="141" spans="1:13" x14ac:dyDescent="0.3">
      <c r="A141">
        <f t="shared" si="5"/>
        <v>140</v>
      </c>
      <c r="B141">
        <f t="shared" si="6"/>
        <v>4</v>
      </c>
      <c r="C141" t="s">
        <v>201</v>
      </c>
      <c r="D141" t="s">
        <v>205</v>
      </c>
      <c r="E141" s="7" t="s">
        <v>349</v>
      </c>
      <c r="F141" t="s">
        <v>123</v>
      </c>
      <c r="I141" t="s">
        <v>10</v>
      </c>
    </row>
    <row r="142" spans="1:13" x14ac:dyDescent="0.3">
      <c r="A142">
        <f t="shared" si="5"/>
        <v>141</v>
      </c>
      <c r="B142">
        <f t="shared" si="6"/>
        <v>5</v>
      </c>
      <c r="C142" t="s">
        <v>201</v>
      </c>
      <c r="D142" t="s">
        <v>206</v>
      </c>
      <c r="E142" s="7" t="s">
        <v>350</v>
      </c>
      <c r="F142" t="s">
        <v>123</v>
      </c>
      <c r="I142" t="s">
        <v>55</v>
      </c>
    </row>
    <row r="143" spans="1:13" x14ac:dyDescent="0.3">
      <c r="A143">
        <f t="shared" si="5"/>
        <v>142</v>
      </c>
      <c r="B143">
        <f t="shared" si="6"/>
        <v>6</v>
      </c>
      <c r="C143" t="s">
        <v>201</v>
      </c>
      <c r="D143" t="s">
        <v>207</v>
      </c>
      <c r="E143" s="7" t="s">
        <v>351</v>
      </c>
      <c r="F143" t="s">
        <v>9</v>
      </c>
      <c r="I143" t="s">
        <v>10</v>
      </c>
      <c r="M143" s="3" t="s">
        <v>217</v>
      </c>
    </row>
    <row r="144" spans="1:13" x14ac:dyDescent="0.3">
      <c r="A144">
        <f t="shared" si="5"/>
        <v>143</v>
      </c>
      <c r="B144">
        <f t="shared" si="6"/>
        <v>7</v>
      </c>
      <c r="C144" t="s">
        <v>201</v>
      </c>
      <c r="D144" t="s">
        <v>208</v>
      </c>
      <c r="E144" s="7" t="s">
        <v>352</v>
      </c>
      <c r="F144" t="s">
        <v>9</v>
      </c>
      <c r="I144" t="s">
        <v>55</v>
      </c>
      <c r="M144" s="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Definicion</vt:lpstr>
      <vt:lpstr>Tablas</vt:lpstr>
      <vt:lpstr>Tuplas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Moises Rosario Prensa</dc:creator>
  <cp:lastModifiedBy>Juan Moises Rosario Prensa</cp:lastModifiedBy>
  <dcterms:created xsi:type="dcterms:W3CDTF">2026-05-31T20:43:29Z</dcterms:created>
  <dcterms:modified xsi:type="dcterms:W3CDTF">2026-06-18T01:13:03Z</dcterms:modified>
</cp:coreProperties>
</file>